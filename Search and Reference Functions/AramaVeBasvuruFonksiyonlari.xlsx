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Search and Reference Functions\"/>
    </mc:Choice>
  </mc:AlternateContent>
  <bookViews>
    <workbookView xWindow="0" yWindow="0" windowWidth="20490" windowHeight="7635" firstSheet="1" activeTab="3"/>
  </bookViews>
  <sheets>
    <sheet name="Liste" sheetId="5" state="hidden" r:id="rId1"/>
    <sheet name="KAYITLAR" sheetId="1" r:id="rId2"/>
    <sheet name="SONUÇLAR" sheetId="2" r:id="rId3"/>
    <sheet name="2019" sheetId="3" r:id="rId4"/>
    <sheet name="2020" sheetId="4" r:id="rId5"/>
    <sheet name="Yaklaşık Eşleşme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3" l="1"/>
  <c r="P13" i="3"/>
  <c r="P14" i="3"/>
  <c r="P15" i="3"/>
  <c r="P16" i="3"/>
  <c r="P11" i="3"/>
  <c r="O12" i="3"/>
  <c r="O13" i="3"/>
  <c r="O14" i="3"/>
  <c r="O15" i="3"/>
  <c r="O16" i="3"/>
  <c r="O11" i="3"/>
  <c r="N12" i="3"/>
  <c r="N13" i="3"/>
  <c r="N14" i="3"/>
  <c r="N15" i="3"/>
  <c r="N16" i="3"/>
  <c r="N11" i="3"/>
  <c r="P3" i="3"/>
  <c r="P4" i="3"/>
  <c r="P5" i="3"/>
  <c r="P2" i="3"/>
  <c r="O3" i="3"/>
  <c r="O4" i="3"/>
  <c r="O5" i="3"/>
  <c r="N3" i="3"/>
  <c r="N4" i="3"/>
  <c r="N5" i="3"/>
  <c r="O2" i="3"/>
  <c r="N2" i="3"/>
  <c r="C3" i="6"/>
  <c r="C4" i="6"/>
  <c r="C5" i="6"/>
  <c r="C6" i="6"/>
  <c r="C7" i="6"/>
  <c r="C8" i="6"/>
  <c r="C9" i="6"/>
  <c r="C10" i="6"/>
  <c r="C11" i="6"/>
  <c r="C2" i="6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G2" i="4"/>
  <c r="F2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2" i="4"/>
  <c r="F11" i="1"/>
  <c r="F12" i="1"/>
  <c r="F13" i="1"/>
  <c r="F14" i="1"/>
  <c r="F15" i="1"/>
  <c r="F16" i="1"/>
  <c r="F17" i="1"/>
  <c r="F18" i="1"/>
  <c r="F19" i="1"/>
  <c r="F20" i="1"/>
  <c r="F10" i="1"/>
  <c r="F3" i="2"/>
  <c r="F4" i="2"/>
  <c r="F5" i="2"/>
  <c r="F6" i="2"/>
  <c r="F7" i="2"/>
  <c r="F8" i="2"/>
  <c r="F9" i="2"/>
  <c r="F10" i="2"/>
  <c r="F11" i="2"/>
  <c r="F12" i="2"/>
  <c r="F2" i="2"/>
  <c r="E3" i="2"/>
  <c r="E4" i="2"/>
  <c r="E5" i="2"/>
  <c r="E6" i="2"/>
  <c r="E7" i="2"/>
  <c r="E8" i="2"/>
  <c r="E9" i="2"/>
  <c r="E10" i="2"/>
  <c r="E11" i="2"/>
  <c r="E12" i="2"/>
  <c r="E2" i="2"/>
  <c r="D3" i="2"/>
  <c r="D4" i="2"/>
  <c r="D5" i="2"/>
  <c r="D6" i="2"/>
  <c r="D7" i="2"/>
  <c r="D8" i="2"/>
  <c r="D9" i="2"/>
  <c r="D10" i="2"/>
  <c r="D11" i="2"/>
  <c r="D12" i="2"/>
  <c r="D2" i="2"/>
  <c r="L2" i="1"/>
  <c r="I2" i="1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2" i="3"/>
</calcChain>
</file>

<file path=xl/sharedStrings.xml><?xml version="1.0" encoding="utf-8"?>
<sst xmlns="http://schemas.openxmlformats.org/spreadsheetml/2006/main" count="1159" uniqueCount="368">
  <si>
    <t>TC KİMLİK NO</t>
  </si>
  <si>
    <t>ADI SOYADI</t>
  </si>
  <si>
    <t>DOĞUM YERİ</t>
  </si>
  <si>
    <t>KREDİ BORCU</t>
  </si>
  <si>
    <t>BANKA</t>
  </si>
  <si>
    <t>KREDİ TÜRÜ</t>
  </si>
  <si>
    <t>Mustafa Mutlu</t>
  </si>
  <si>
    <t>Giresun</t>
  </si>
  <si>
    <t>X BANKASI</t>
  </si>
  <si>
    <t>EMLAK</t>
  </si>
  <si>
    <t>Kerem Koç</t>
  </si>
  <si>
    <t>Manisa</t>
  </si>
  <si>
    <t>Y BANKASI</t>
  </si>
  <si>
    <t>Ahmet Zengin</t>
  </si>
  <si>
    <t>Kastamonu</t>
  </si>
  <si>
    <t>Z BANKASI</t>
  </si>
  <si>
    <t>OTOMOBİL</t>
  </si>
  <si>
    <t>Zekeriya Yaprak</t>
  </si>
  <si>
    <t>Siirt</t>
  </si>
  <si>
    <t>Zeki Arslan</t>
  </si>
  <si>
    <t>Muş</t>
  </si>
  <si>
    <t>EVLİLİK</t>
  </si>
  <si>
    <t>Zeki Kılıç</t>
  </si>
  <si>
    <t>Edirne</t>
  </si>
  <si>
    <t>Gökhan Sözmez</t>
  </si>
  <si>
    <t>Ahmet Ali Demir</t>
  </si>
  <si>
    <t>Samsun</t>
  </si>
  <si>
    <t>Zekeriya Sapmaz</t>
  </si>
  <si>
    <t>Adıyaman</t>
  </si>
  <si>
    <t>Kerem Mutlugil</t>
  </si>
  <si>
    <t>Uşak</t>
  </si>
  <si>
    <t>Ahmet Ali Yaprak</t>
  </si>
  <si>
    <t>Mersin</t>
  </si>
  <si>
    <t>Semih Haktanır</t>
  </si>
  <si>
    <t>Zonguldak</t>
  </si>
  <si>
    <t>Metin Haktan</t>
  </si>
  <si>
    <t>Mustafa Aydın</t>
  </si>
  <si>
    <t>Aydın</t>
  </si>
  <si>
    <t>Kerem Mutlu</t>
  </si>
  <si>
    <t>K.Maraş</t>
  </si>
  <si>
    <t>Hatay</t>
  </si>
  <si>
    <t>Mustafa Zengin</t>
  </si>
  <si>
    <t>Ahmet Arslan</t>
  </si>
  <si>
    <t>Zeynep Kılıç</t>
  </si>
  <si>
    <t>Hakan Sözmez</t>
  </si>
  <si>
    <t>Hakan Demir</t>
  </si>
  <si>
    <t>Semih Sapmaz</t>
  </si>
  <si>
    <t>Ahmet Ali Mutlugil</t>
  </si>
  <si>
    <t>Hakan Haktanır</t>
  </si>
  <si>
    <t>Kerem Haktan</t>
  </si>
  <si>
    <t>Cemil Aydın</t>
  </si>
  <si>
    <t>Murat Mutlu</t>
  </si>
  <si>
    <t>Muğla</t>
  </si>
  <si>
    <t>Ahmet Koç</t>
  </si>
  <si>
    <t>Semih Yaprak</t>
  </si>
  <si>
    <t>Mustafa Haktanır</t>
  </si>
  <si>
    <t>Ahmet Ali Haktan</t>
  </si>
  <si>
    <t>Kerem Aydın</t>
  </si>
  <si>
    <t>Hakan Mutlugil</t>
  </si>
  <si>
    <t>Samet Haktan</t>
  </si>
  <si>
    <t>Tamer Yaprak</t>
  </si>
  <si>
    <t>Cemal Haktanır</t>
  </si>
  <si>
    <t>Ürün Kodu</t>
  </si>
  <si>
    <t>Ürün Adı</t>
  </si>
  <si>
    <t>Ürün Fiyatı</t>
  </si>
  <si>
    <t>Firma Adı</t>
  </si>
  <si>
    <t>İskonto</t>
  </si>
  <si>
    <t>T100</t>
  </si>
  <si>
    <t>TV</t>
  </si>
  <si>
    <t>Gima</t>
  </si>
  <si>
    <t>Carrefour</t>
  </si>
  <si>
    <t>D200</t>
  </si>
  <si>
    <t>Dolap</t>
  </si>
  <si>
    <t>Migros</t>
  </si>
  <si>
    <t>M150</t>
  </si>
  <si>
    <t>Masa</t>
  </si>
  <si>
    <t>K300</t>
  </si>
  <si>
    <t>Kasa</t>
  </si>
  <si>
    <t>TeknoSa</t>
  </si>
  <si>
    <t>C230</t>
  </si>
  <si>
    <t>Computer</t>
  </si>
  <si>
    <t>K150</t>
  </si>
  <si>
    <t>Klavye</t>
  </si>
  <si>
    <t>Adeti</t>
  </si>
  <si>
    <t>Toplam Tutar</t>
  </si>
  <si>
    <t>Memur No</t>
  </si>
  <si>
    <t>Ad</t>
  </si>
  <si>
    <t>Soyad</t>
  </si>
  <si>
    <t>AdSoyad</t>
  </si>
  <si>
    <t>Görev</t>
  </si>
  <si>
    <t>Telefon</t>
  </si>
  <si>
    <t>Daire</t>
  </si>
  <si>
    <t>MemurKart</t>
  </si>
  <si>
    <t>İşe Başlama</t>
  </si>
  <si>
    <t>Doğum Tarihi</t>
  </si>
  <si>
    <t>Sıra</t>
  </si>
  <si>
    <t>Mesut</t>
  </si>
  <si>
    <t>Garip</t>
  </si>
  <si>
    <t>Muhasebe Yrd.</t>
  </si>
  <si>
    <t>Muhasebe</t>
  </si>
  <si>
    <t>Pınar</t>
  </si>
  <si>
    <t>Otçu</t>
  </si>
  <si>
    <t>Makine Mühendisi</t>
  </si>
  <si>
    <t>Mühendislik</t>
  </si>
  <si>
    <t>Tekin</t>
  </si>
  <si>
    <t>Tercan</t>
  </si>
  <si>
    <t>Grup Yönetim Yrd.</t>
  </si>
  <si>
    <t>Araştırma</t>
  </si>
  <si>
    <t>Leyla</t>
  </si>
  <si>
    <t>Saatçioğlu</t>
  </si>
  <si>
    <t>Tasarım Yrd.</t>
  </si>
  <si>
    <t>Sanat</t>
  </si>
  <si>
    <t>Aslı</t>
  </si>
  <si>
    <t>Akkuzu</t>
  </si>
  <si>
    <t>Pazarlama</t>
  </si>
  <si>
    <t>Erdal</t>
  </si>
  <si>
    <t>Geçimsiz</t>
  </si>
  <si>
    <t>Birim Yön.</t>
  </si>
  <si>
    <t>Yönetim</t>
  </si>
  <si>
    <t>Faruk</t>
  </si>
  <si>
    <t>Yaylşacı</t>
  </si>
  <si>
    <t>Tasarım Uzmanı</t>
  </si>
  <si>
    <t>Işık</t>
  </si>
  <si>
    <t>Makas</t>
  </si>
  <si>
    <t>Jale</t>
  </si>
  <si>
    <t>Kabak</t>
  </si>
  <si>
    <t>Sonkar</t>
  </si>
  <si>
    <t>Müderrisoğlu</t>
  </si>
  <si>
    <t>şef Mühendis</t>
  </si>
  <si>
    <t>M1054</t>
  </si>
  <si>
    <t>Zeynel</t>
  </si>
  <si>
    <t>Hebelek</t>
  </si>
  <si>
    <t>Yönetim Yrd.</t>
  </si>
  <si>
    <t>M1068</t>
  </si>
  <si>
    <t>Nida</t>
  </si>
  <si>
    <t>Pala</t>
  </si>
  <si>
    <t>M1154</t>
  </si>
  <si>
    <t>Fazıl</t>
  </si>
  <si>
    <t>Feslioğlu</t>
  </si>
  <si>
    <t>Araştırma Görevlisi</t>
  </si>
  <si>
    <t>M1169</t>
  </si>
  <si>
    <t>Uluç</t>
  </si>
  <si>
    <t>Hendek</t>
  </si>
  <si>
    <t>M1285</t>
  </si>
  <si>
    <t>Nadiye</t>
  </si>
  <si>
    <t>Nalbant</t>
  </si>
  <si>
    <t>M1300</t>
  </si>
  <si>
    <t>Selçuk</t>
  </si>
  <si>
    <t>Doğulu</t>
  </si>
  <si>
    <t>Yazılım Mühendisi</t>
  </si>
  <si>
    <t>Orkun</t>
  </si>
  <si>
    <t>Bağcı</t>
  </si>
  <si>
    <t>Satış Sorumlusu</t>
  </si>
  <si>
    <t>Münevver</t>
  </si>
  <si>
    <t>Güvenç</t>
  </si>
  <si>
    <t>Deniz</t>
  </si>
  <si>
    <t>Yaşar</t>
  </si>
  <si>
    <t>Barut</t>
  </si>
  <si>
    <t>Ürün Pazarlayıcı</t>
  </si>
  <si>
    <t>Markirit</t>
  </si>
  <si>
    <t>Temürcü</t>
  </si>
  <si>
    <t>Grup Yöneticisi</t>
  </si>
  <si>
    <t>Lamel</t>
  </si>
  <si>
    <t>Çörk</t>
  </si>
  <si>
    <t>şükran</t>
  </si>
  <si>
    <t>Üleş</t>
  </si>
  <si>
    <t>Gürhan</t>
  </si>
  <si>
    <t>şebek</t>
  </si>
  <si>
    <t>Toprak</t>
  </si>
  <si>
    <t>Paşa</t>
  </si>
  <si>
    <t>Teknisyen</t>
  </si>
  <si>
    <t>Oktay</t>
  </si>
  <si>
    <t>Neşter</t>
  </si>
  <si>
    <t>Ömür</t>
  </si>
  <si>
    <t>Saltık</t>
  </si>
  <si>
    <t>Teknisyen Yrd.</t>
  </si>
  <si>
    <t>Cengiz</t>
  </si>
  <si>
    <t>Sım</t>
  </si>
  <si>
    <t>Muhasebeci</t>
  </si>
  <si>
    <t>Nazım</t>
  </si>
  <si>
    <t>Sihir</t>
  </si>
  <si>
    <t>Ökkeş</t>
  </si>
  <si>
    <t>Bıyık</t>
  </si>
  <si>
    <t>Mühendislik Yön.</t>
  </si>
  <si>
    <t>Can</t>
  </si>
  <si>
    <t>Laci</t>
  </si>
  <si>
    <t>Erkan</t>
  </si>
  <si>
    <t>Sekte</t>
  </si>
  <si>
    <t>Ersen</t>
  </si>
  <si>
    <t>Çullu</t>
  </si>
  <si>
    <t>Uğur</t>
  </si>
  <si>
    <t>Ustura</t>
  </si>
  <si>
    <t>Mert</t>
  </si>
  <si>
    <t>Sergen</t>
  </si>
  <si>
    <t>Ekrem</t>
  </si>
  <si>
    <t>Cambaz</t>
  </si>
  <si>
    <t>İhsan</t>
  </si>
  <si>
    <t>Sağlam</t>
  </si>
  <si>
    <t>Mikail</t>
  </si>
  <si>
    <t>Kuşkuş</t>
  </si>
  <si>
    <t>Hasan</t>
  </si>
  <si>
    <t>Üstün</t>
  </si>
  <si>
    <t>Barış</t>
  </si>
  <si>
    <t>Hallaç</t>
  </si>
  <si>
    <t>şef Bilim Adamı</t>
  </si>
  <si>
    <t>Ohan</t>
  </si>
  <si>
    <t>Bacak</t>
  </si>
  <si>
    <t>Baş Mühendis</t>
  </si>
  <si>
    <t>Tahsin</t>
  </si>
  <si>
    <t>Torna</t>
  </si>
  <si>
    <t>Çiğdem</t>
  </si>
  <si>
    <t>Ramazan</t>
  </si>
  <si>
    <t>Turan</t>
  </si>
  <si>
    <t>şekilsiz</t>
  </si>
  <si>
    <t>ınal</t>
  </si>
  <si>
    <t>Hümeyra</t>
  </si>
  <si>
    <t>Beker</t>
  </si>
  <si>
    <t>Sema</t>
  </si>
  <si>
    <t>Barutçuoğlu</t>
  </si>
  <si>
    <t>Cemal</t>
  </si>
  <si>
    <t>Kımıl</t>
  </si>
  <si>
    <t>Furkan</t>
  </si>
  <si>
    <t>Pestil</t>
  </si>
  <si>
    <t>Cemile</t>
  </si>
  <si>
    <t>Dondon</t>
  </si>
  <si>
    <t>Kayın</t>
  </si>
  <si>
    <t>Paspas</t>
  </si>
  <si>
    <t>Ayvaşık</t>
  </si>
  <si>
    <t>Ali</t>
  </si>
  <si>
    <t>Barlak</t>
  </si>
  <si>
    <t>Erdem</t>
  </si>
  <si>
    <t>Özgür</t>
  </si>
  <si>
    <t>Fatih</t>
  </si>
  <si>
    <t>Setencı</t>
  </si>
  <si>
    <t>Barul</t>
  </si>
  <si>
    <t>Keller</t>
  </si>
  <si>
    <t>şengül</t>
  </si>
  <si>
    <t>Hatipoğlu</t>
  </si>
  <si>
    <t>Umay</t>
  </si>
  <si>
    <t>Kişkiş</t>
  </si>
  <si>
    <t>Eray</t>
  </si>
  <si>
    <t>Damgacı</t>
  </si>
  <si>
    <t>Nevzat</t>
  </si>
  <si>
    <t>Beşir</t>
  </si>
  <si>
    <t>Hakan</t>
  </si>
  <si>
    <t>Sefer</t>
  </si>
  <si>
    <t>Tansel</t>
  </si>
  <si>
    <t>Canan</t>
  </si>
  <si>
    <t>Repo</t>
  </si>
  <si>
    <t>Sinan</t>
  </si>
  <si>
    <t>Sır</t>
  </si>
  <si>
    <t>Teo</t>
  </si>
  <si>
    <t>Küpeşte</t>
  </si>
  <si>
    <t>Figan</t>
  </si>
  <si>
    <t>Kılıç</t>
  </si>
  <si>
    <t>Dadaş</t>
  </si>
  <si>
    <t>Coşkun</t>
  </si>
  <si>
    <t>Demircan</t>
  </si>
  <si>
    <t>Davulcu</t>
  </si>
  <si>
    <t>Selim</t>
  </si>
  <si>
    <t>Baykuş</t>
  </si>
  <si>
    <t>Metin</t>
  </si>
  <si>
    <t>Macun</t>
  </si>
  <si>
    <t>Tolga</t>
  </si>
  <si>
    <t>Tütek</t>
  </si>
  <si>
    <t>Koni</t>
  </si>
  <si>
    <t>Büdü</t>
  </si>
  <si>
    <t>Jabon</t>
  </si>
  <si>
    <t>Cemil</t>
  </si>
  <si>
    <t>Astar</t>
  </si>
  <si>
    <t>Nesrin</t>
  </si>
  <si>
    <t>Ayık</t>
  </si>
  <si>
    <t>Adile</t>
  </si>
  <si>
    <t>Canoğlu</t>
  </si>
  <si>
    <t>Yasemin</t>
  </si>
  <si>
    <t>Demirbaş</t>
  </si>
  <si>
    <t>Yavuz</t>
  </si>
  <si>
    <t>Başaran</t>
  </si>
  <si>
    <t>Kamil</t>
  </si>
  <si>
    <t>Akkenk</t>
  </si>
  <si>
    <t>Neşat</t>
  </si>
  <si>
    <t>Bakırcı</t>
  </si>
  <si>
    <t>Cahide</t>
  </si>
  <si>
    <t>Ataç</t>
  </si>
  <si>
    <t>Süleyman</t>
  </si>
  <si>
    <t>Gulaş</t>
  </si>
  <si>
    <t>Nilgün</t>
  </si>
  <si>
    <t>Ataman</t>
  </si>
  <si>
    <t>Haluk</t>
  </si>
  <si>
    <t>Damla</t>
  </si>
  <si>
    <t>Saim</t>
  </si>
  <si>
    <t>Kayzer</t>
  </si>
  <si>
    <t>Nuri</t>
  </si>
  <si>
    <t>Bük</t>
  </si>
  <si>
    <t>Ragıp</t>
  </si>
  <si>
    <t>Halıcı</t>
  </si>
  <si>
    <t>Melis</t>
  </si>
  <si>
    <t>Zagor</t>
  </si>
  <si>
    <t>Yusuf</t>
  </si>
  <si>
    <t>şahan</t>
  </si>
  <si>
    <t>şeveket</t>
  </si>
  <si>
    <t>Belen</t>
  </si>
  <si>
    <t>Hadiye</t>
  </si>
  <si>
    <t>Kıllı</t>
  </si>
  <si>
    <t>Güllü</t>
  </si>
  <si>
    <t>Mumcu</t>
  </si>
  <si>
    <t>Ayten</t>
  </si>
  <si>
    <t>Işıksoy</t>
  </si>
  <si>
    <t>Necmi</t>
  </si>
  <si>
    <t>Biber</t>
  </si>
  <si>
    <t>Bırhan</t>
  </si>
  <si>
    <t>şeker</t>
  </si>
  <si>
    <t>Figen</t>
  </si>
  <si>
    <t>Dede</t>
  </si>
  <si>
    <t>Aynur</t>
  </si>
  <si>
    <t>Moray</t>
  </si>
  <si>
    <t>Mustafa</t>
  </si>
  <si>
    <t>Necati</t>
  </si>
  <si>
    <t>Conkbayır</t>
  </si>
  <si>
    <t>Bikem</t>
  </si>
  <si>
    <t>Camcı</t>
  </si>
  <si>
    <t>Mermer</t>
  </si>
  <si>
    <t>Firdevs</t>
  </si>
  <si>
    <t>Arıkan</t>
  </si>
  <si>
    <t>Okan</t>
  </si>
  <si>
    <t>Delidana</t>
  </si>
  <si>
    <t>Hüsnü</t>
  </si>
  <si>
    <t>Namlı</t>
  </si>
  <si>
    <t>Bülent</t>
  </si>
  <si>
    <t>Gedik</t>
  </si>
  <si>
    <t>Namık</t>
  </si>
  <si>
    <t>Sabuncu</t>
  </si>
  <si>
    <t>Baydar</t>
  </si>
  <si>
    <t>Hılmi</t>
  </si>
  <si>
    <t>Cura</t>
  </si>
  <si>
    <t>Aslıhan</t>
  </si>
  <si>
    <t>Mirza</t>
  </si>
  <si>
    <t>Fikrıye</t>
  </si>
  <si>
    <t>şen</t>
  </si>
  <si>
    <t>Umut</t>
  </si>
  <si>
    <t>Hortum</t>
  </si>
  <si>
    <t>Atak</t>
  </si>
  <si>
    <t>Beytullah</t>
  </si>
  <si>
    <t>Lefke</t>
  </si>
  <si>
    <t>Büro Yöneticisi</t>
  </si>
  <si>
    <t>Lütfü</t>
  </si>
  <si>
    <t>Meral</t>
  </si>
  <si>
    <t>ışe Başlama</t>
  </si>
  <si>
    <t>Satış Ekipleri</t>
  </si>
  <si>
    <t>Toplam Ciro</t>
  </si>
  <si>
    <t>Başarı</t>
  </si>
  <si>
    <t>Ciro</t>
  </si>
  <si>
    <t xml:space="preserve">Başarı </t>
  </si>
  <si>
    <t>G1</t>
  </si>
  <si>
    <t>Başarısız</t>
  </si>
  <si>
    <t>G2</t>
  </si>
  <si>
    <t>Vasat</t>
  </si>
  <si>
    <t>G3</t>
  </si>
  <si>
    <t>Orta</t>
  </si>
  <si>
    <t>G4</t>
  </si>
  <si>
    <t>İyi</t>
  </si>
  <si>
    <t>G5</t>
  </si>
  <si>
    <t>Harika</t>
  </si>
  <si>
    <t>G6</t>
  </si>
  <si>
    <t>G7</t>
  </si>
  <si>
    <t>G8</t>
  </si>
  <si>
    <t>G9</t>
  </si>
  <si>
    <t>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</si>
</sst>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\ &quot;₺&quot;_-;\-* #,##0.00\ &quot;₺&quot;_-;_-* &quot;-&quot;??\ &quot;₺&quot;_-;_-@_-"/>
    <numFmt numFmtId="165" formatCode="_-* #,##0.00\ &quot;TL&quot;_-;\-* #,##0.00\ &quot;TL&quot;_-;_-* &quot;-&quot;??\ &quot;TL&quot;_-;_-@_-"/>
    <numFmt numFmtId="166" formatCode="_(* #,##0.00\ &quot;TL&quot;_);_(* \(#,##0.00\ &quot;TL&quot;\);_(* &quot;-&quot;??\ &quot;TL&quot;_);_(@_)"/>
    <numFmt numFmtId="167" formatCode="[&lt;=9999999]###\-####;\(###\)\ ###\-####"/>
    <numFmt numFmtId="168" formatCode="_-* #,##0\ [$₺-41F]_-;\-* #,##0\ [$₺-41F]_-;_-* &quot;-&quot;??\ [$₺-41F]_-;_-@_-"/>
  </numFmts>
  <fonts count="16" x14ac:knownFonts="1">
    <font>
      <sz val="10"/>
      <name val="Arial"/>
      <charset val="162"/>
    </font>
    <font>
      <sz val="11"/>
      <color theme="1"/>
      <name val="Calibri"/>
      <family val="2"/>
      <charset val="162"/>
      <scheme val="minor"/>
    </font>
    <font>
      <b/>
      <sz val="10"/>
      <color indexed="9"/>
      <name val="Arial"/>
      <family val="2"/>
      <charset val="162"/>
    </font>
    <font>
      <sz val="8"/>
      <name val="Arial"/>
      <family val="2"/>
      <charset val="162"/>
    </font>
    <font>
      <b/>
      <sz val="10"/>
      <color theme="0"/>
      <name val="Arial"/>
      <family val="2"/>
      <charset val="16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0"/>
      <name val="Arial"/>
      <family val="2"/>
      <charset val="162"/>
    </font>
    <font>
      <b/>
      <sz val="18"/>
      <color indexed="62"/>
      <name val="Cambria"/>
      <family val="2"/>
      <charset val="162"/>
    </font>
    <font>
      <i/>
      <sz val="10"/>
      <name val="Arial"/>
      <family val="2"/>
      <charset val="162"/>
    </font>
    <font>
      <sz val="10"/>
      <name val="Arial"/>
      <family val="2"/>
      <charset val="162"/>
    </font>
    <font>
      <b/>
      <sz val="13"/>
      <color theme="3"/>
      <name val="Calibri"/>
      <family val="2"/>
      <charset val="162"/>
      <scheme val="minor"/>
    </font>
    <font>
      <b/>
      <sz val="11"/>
      <color indexed="62"/>
      <name val="Calibri"/>
      <family val="2"/>
      <charset val="162"/>
    </font>
    <font>
      <sz val="11"/>
      <color indexed="8"/>
      <name val="Calibri"/>
      <family val="2"/>
    </font>
    <font>
      <b/>
      <sz val="11"/>
      <color theme="0"/>
      <name val="Calibri"/>
      <family val="2"/>
      <charset val="16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5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6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9" fillId="0" borderId="0" applyNumberFormat="0" applyFill="0" applyBorder="0" applyAlignment="0" applyProtection="0"/>
    <xf numFmtId="166" fontId="8" fillId="0" borderId="0" applyFont="0" applyFill="0" applyBorder="0" applyAlignment="0" applyProtection="0"/>
    <xf numFmtId="0" fontId="1" fillId="0" borderId="0"/>
    <xf numFmtId="165" fontId="11" fillId="0" borderId="0" applyFont="0" applyFill="0" applyBorder="0" applyAlignment="0" applyProtection="0"/>
    <xf numFmtId="0" fontId="12" fillId="0" borderId="1" applyNumberFormat="0" applyFill="0" applyAlignment="0" applyProtection="0"/>
    <xf numFmtId="0" fontId="14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</cellStyleXfs>
  <cellXfs count="29">
    <xf numFmtId="0" fontId="0" fillId="0" borderId="0" xfId="0"/>
    <xf numFmtId="0" fontId="0" fillId="0" borderId="0" xfId="0" applyProtection="1"/>
    <xf numFmtId="14" fontId="0" fillId="0" borderId="0" xfId="0" applyNumberFormat="1"/>
    <xf numFmtId="167" fontId="0" fillId="0" borderId="0" xfId="0" applyNumberFormat="1"/>
    <xf numFmtId="0" fontId="10" fillId="0" borderId="0" xfId="0" applyFont="1"/>
    <xf numFmtId="0" fontId="13" fillId="13" borderId="1" xfId="27" applyFont="1" applyFill="1" applyAlignment="1">
      <alignment horizontal="center" vertical="center" wrapText="1"/>
    </xf>
    <xf numFmtId="164" fontId="13" fillId="13" borderId="1" xfId="27" applyNumberFormat="1" applyFont="1" applyFill="1" applyAlignment="1">
      <alignment horizontal="center" vertical="center" wrapText="1"/>
    </xf>
    <xf numFmtId="0" fontId="14" fillId="0" borderId="0" xfId="28"/>
    <xf numFmtId="0" fontId="14" fillId="13" borderId="2" xfId="28" applyFill="1" applyBorder="1" applyAlignment="1">
      <alignment horizontal="center" vertical="center" wrapText="1"/>
    </xf>
    <xf numFmtId="0" fontId="8" fillId="0" borderId="2" xfId="29" applyFont="1" applyBorder="1" applyAlignment="1">
      <alignment horizontal="center" vertical="center"/>
    </xf>
    <xf numFmtId="0" fontId="8" fillId="0" borderId="2" xfId="29" applyFont="1" applyBorder="1" applyAlignment="1">
      <alignment horizontal="center"/>
    </xf>
    <xf numFmtId="0" fontId="14" fillId="0" borderId="2" xfId="28" applyBorder="1"/>
    <xf numFmtId="0" fontId="8" fillId="0" borderId="2" xfId="29" applyFont="1" applyBorder="1"/>
    <xf numFmtId="164" fontId="14" fillId="0" borderId="2" xfId="28" applyNumberFormat="1" applyBorder="1"/>
    <xf numFmtId="0" fontId="8" fillId="0" borderId="2" xfId="29" applyFont="1" applyFill="1" applyBorder="1" applyAlignment="1">
      <alignment horizontal="center"/>
    </xf>
    <xf numFmtId="0" fontId="8" fillId="0" borderId="2" xfId="29" applyFont="1" applyFill="1" applyBorder="1"/>
    <xf numFmtId="0" fontId="14" fillId="0" borderId="2" xfId="28" applyBorder="1" applyAlignment="1">
      <alignment horizontal="center" vertical="center"/>
    </xf>
    <xf numFmtId="165" fontId="14" fillId="13" borderId="2" xfId="26" applyFont="1" applyFill="1" applyBorder="1" applyAlignment="1">
      <alignment horizontal="center" vertical="center" wrapText="1"/>
    </xf>
    <xf numFmtId="165" fontId="14" fillId="0" borderId="2" xfId="26" applyFont="1" applyBorder="1" applyAlignment="1">
      <alignment horizontal="center" vertical="center"/>
    </xf>
    <xf numFmtId="0" fontId="14" fillId="0" borderId="0" xfId="28" applyAlignment="1">
      <alignment horizontal="center" vertical="center"/>
    </xf>
    <xf numFmtId="0" fontId="14" fillId="0" borderId="0" xfId="28" applyFill="1"/>
    <xf numFmtId="165" fontId="14" fillId="0" borderId="0" xfId="26" applyFont="1" applyFill="1"/>
    <xf numFmtId="0" fontId="14" fillId="0" borderId="0" xfId="28" applyFill="1" applyAlignment="1">
      <alignment horizontal="center"/>
    </xf>
    <xf numFmtId="0" fontId="14" fillId="0" borderId="0" xfId="28" applyFill="1" applyAlignment="1">
      <alignment horizontal="center" vertical="center"/>
    </xf>
    <xf numFmtId="168" fontId="0" fillId="0" borderId="0" xfId="0" applyNumberFormat="1"/>
    <xf numFmtId="0" fontId="2" fillId="14" borderId="0" xfId="0" applyFont="1" applyFill="1"/>
    <xf numFmtId="0" fontId="2" fillId="14" borderId="0" xfId="0" applyFont="1" applyFill="1" applyProtection="1"/>
    <xf numFmtId="0" fontId="4" fillId="14" borderId="0" xfId="0" applyFont="1" applyFill="1"/>
    <xf numFmtId="0" fontId="15" fillId="14" borderId="0" xfId="0" applyFont="1" applyFill="1"/>
  </cellXfs>
  <cellStyles count="32">
    <cellStyle name="Accent1 - 20%" xfId="2"/>
    <cellStyle name="Accent1 - 40%" xfId="3"/>
    <cellStyle name="Accent1 - 60%" xfId="4"/>
    <cellStyle name="Accent2 - 20%" xfId="5"/>
    <cellStyle name="Accent2 - 40%" xfId="6"/>
    <cellStyle name="Accent2 - 60%" xfId="7"/>
    <cellStyle name="Accent3 - 20%" xfId="8"/>
    <cellStyle name="Accent3 - 40%" xfId="9"/>
    <cellStyle name="Accent3 - 60%" xfId="10"/>
    <cellStyle name="Accent4 - 20%" xfId="11"/>
    <cellStyle name="Accent4 - 40%" xfId="12"/>
    <cellStyle name="Accent4 - 60%" xfId="13"/>
    <cellStyle name="Accent5 - 20%" xfId="14"/>
    <cellStyle name="Accent5 - 40%" xfId="15"/>
    <cellStyle name="Accent5 - 60%" xfId="16"/>
    <cellStyle name="Accent6 - 20%" xfId="17"/>
    <cellStyle name="Accent6 - 40%" xfId="18"/>
    <cellStyle name="Accent6 - 60%" xfId="19"/>
    <cellStyle name="Başlık 2" xfId="27" builtinId="17"/>
    <cellStyle name="Currency 2" xfId="30"/>
    <cellStyle name="Emphasis 1" xfId="20"/>
    <cellStyle name="Emphasis 2" xfId="21"/>
    <cellStyle name="Emphasis 3" xfId="22"/>
    <cellStyle name="Normal" xfId="0" builtinId="0"/>
    <cellStyle name="Normal 2" xfId="1"/>
    <cellStyle name="Normal 2 2" xfId="25"/>
    <cellStyle name="Normal 3" xfId="31"/>
    <cellStyle name="Normal 4" xfId="28"/>
    <cellStyle name="Normal_Excel" xfId="29"/>
    <cellStyle name="ParaBirimi" xfId="26" builtinId="4"/>
    <cellStyle name="Sheet Title" xfId="23"/>
    <cellStyle name="Währung" xfId="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workbookViewId="0">
      <selection activeCell="H12" sqref="H12"/>
    </sheetView>
  </sheetViews>
  <sheetFormatPr defaultColWidth="9.140625" defaultRowHeight="15" x14ac:dyDescent="0.25"/>
  <cols>
    <col min="1" max="1" width="16.7109375" style="20" customWidth="1"/>
    <col min="2" max="2" width="19.5703125" style="20" customWidth="1"/>
    <col min="3" max="3" width="12.85546875" style="20" customWidth="1"/>
    <col min="4" max="4" width="13.28515625" style="21" bestFit="1" customWidth="1"/>
    <col min="5" max="5" width="16.140625" style="22" customWidth="1"/>
    <col min="6" max="6" width="16.5703125" style="20" customWidth="1"/>
    <col min="7" max="7" width="9.140625" style="20"/>
    <col min="8" max="8" width="14.85546875" style="20" customWidth="1"/>
    <col min="9" max="9" width="15.5703125" style="23" customWidth="1"/>
    <col min="10" max="16384" width="9.140625" style="20"/>
  </cols>
  <sheetData>
    <row r="1" spans="1:9" s="7" customFormat="1" ht="16.5" customHeight="1" thickBot="1" x14ac:dyDescent="0.3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H1" s="8" t="s">
        <v>0</v>
      </c>
      <c r="I1" s="9">
        <v>30692788053</v>
      </c>
    </row>
    <row r="2" spans="1:9" s="7" customFormat="1" ht="15.75" thickTop="1" x14ac:dyDescent="0.25">
      <c r="A2" s="10">
        <v>30932788317</v>
      </c>
      <c r="B2" s="11" t="s">
        <v>6</v>
      </c>
      <c r="C2" s="12" t="s">
        <v>7</v>
      </c>
      <c r="D2" s="13">
        <v>32000</v>
      </c>
      <c r="E2" s="14" t="s">
        <v>8</v>
      </c>
      <c r="F2" s="15" t="s">
        <v>9</v>
      </c>
      <c r="H2" s="8" t="s">
        <v>1</v>
      </c>
      <c r="I2" s="16"/>
    </row>
    <row r="3" spans="1:9" s="7" customFormat="1" x14ac:dyDescent="0.25">
      <c r="A3" s="10">
        <v>30892788273</v>
      </c>
      <c r="B3" s="11" t="s">
        <v>10</v>
      </c>
      <c r="C3" s="12" t="s">
        <v>11</v>
      </c>
      <c r="D3" s="13">
        <v>43000</v>
      </c>
      <c r="E3" s="14" t="s">
        <v>12</v>
      </c>
      <c r="F3" s="15" t="s">
        <v>9</v>
      </c>
      <c r="H3" s="8" t="s">
        <v>2</v>
      </c>
      <c r="I3" s="16"/>
    </row>
    <row r="4" spans="1:9" s="7" customFormat="1" x14ac:dyDescent="0.25">
      <c r="A4" s="10">
        <v>30852788229</v>
      </c>
      <c r="B4" s="11" t="s">
        <v>13</v>
      </c>
      <c r="C4" s="12" t="s">
        <v>14</v>
      </c>
      <c r="D4" s="13">
        <v>2000</v>
      </c>
      <c r="E4" s="14" t="s">
        <v>15</v>
      </c>
      <c r="F4" s="15" t="s">
        <v>16</v>
      </c>
      <c r="H4" s="17" t="s">
        <v>3</v>
      </c>
      <c r="I4" s="18"/>
    </row>
    <row r="5" spans="1:9" s="7" customFormat="1" x14ac:dyDescent="0.25">
      <c r="A5" s="10">
        <v>30812788185</v>
      </c>
      <c r="B5" s="11" t="s">
        <v>17</v>
      </c>
      <c r="C5" s="12" t="s">
        <v>18</v>
      </c>
      <c r="D5" s="13">
        <v>32000</v>
      </c>
      <c r="E5" s="14" t="s">
        <v>8</v>
      </c>
      <c r="F5" s="15" t="s">
        <v>16</v>
      </c>
      <c r="H5" s="17" t="s">
        <v>4</v>
      </c>
      <c r="I5" s="16"/>
    </row>
    <row r="6" spans="1:9" s="7" customFormat="1" x14ac:dyDescent="0.25">
      <c r="A6" s="10">
        <v>30772788141</v>
      </c>
      <c r="B6" s="11" t="s">
        <v>19</v>
      </c>
      <c r="C6" s="12" t="s">
        <v>20</v>
      </c>
      <c r="D6" s="13">
        <v>43000</v>
      </c>
      <c r="E6" s="14" t="s">
        <v>8</v>
      </c>
      <c r="F6" s="15" t="s">
        <v>21</v>
      </c>
      <c r="H6" s="8" t="s">
        <v>5</v>
      </c>
      <c r="I6" s="16"/>
    </row>
    <row r="7" spans="1:9" s="7" customFormat="1" x14ac:dyDescent="0.25">
      <c r="A7" s="10">
        <v>30732788097</v>
      </c>
      <c r="B7" s="11" t="s">
        <v>22</v>
      </c>
      <c r="C7" s="12" t="s">
        <v>23</v>
      </c>
      <c r="D7" s="13">
        <v>54000</v>
      </c>
      <c r="E7" s="14" t="s">
        <v>8</v>
      </c>
      <c r="F7" s="15" t="s">
        <v>9</v>
      </c>
      <c r="I7" s="19"/>
    </row>
    <row r="8" spans="1:9" s="7" customFormat="1" x14ac:dyDescent="0.25">
      <c r="A8" s="10">
        <v>30692788053</v>
      </c>
      <c r="B8" s="11" t="s">
        <v>24</v>
      </c>
      <c r="C8" s="12" t="s">
        <v>7</v>
      </c>
      <c r="D8" s="13">
        <v>65000</v>
      </c>
      <c r="E8" s="14" t="s">
        <v>8</v>
      </c>
      <c r="F8" s="15" t="s">
        <v>9</v>
      </c>
      <c r="I8" s="19"/>
    </row>
    <row r="9" spans="1:9" s="7" customFormat="1" x14ac:dyDescent="0.25">
      <c r="A9" s="10">
        <v>30652788009</v>
      </c>
      <c r="B9" s="11" t="s">
        <v>25</v>
      </c>
      <c r="C9" s="12" t="s">
        <v>26</v>
      </c>
      <c r="D9" s="13">
        <v>76000</v>
      </c>
      <c r="E9" s="14" t="s">
        <v>8</v>
      </c>
      <c r="F9" s="15" t="s">
        <v>16</v>
      </c>
      <c r="I9" s="19"/>
    </row>
    <row r="10" spans="1:9" s="7" customFormat="1" x14ac:dyDescent="0.25">
      <c r="A10" s="10">
        <v>30612787965</v>
      </c>
      <c r="B10" s="11" t="s">
        <v>27</v>
      </c>
      <c r="C10" s="12" t="s">
        <v>28</v>
      </c>
      <c r="D10" s="13">
        <v>87000</v>
      </c>
      <c r="E10" s="14" t="s">
        <v>8</v>
      </c>
      <c r="F10" s="15" t="s">
        <v>16</v>
      </c>
      <c r="I10" s="19"/>
    </row>
    <row r="11" spans="1:9" s="7" customFormat="1" x14ac:dyDescent="0.25">
      <c r="A11" s="10">
        <v>30572787921</v>
      </c>
      <c r="B11" s="11" t="s">
        <v>29</v>
      </c>
      <c r="C11" s="12" t="s">
        <v>30</v>
      </c>
      <c r="D11" s="13">
        <v>98000</v>
      </c>
      <c r="E11" s="14" t="s">
        <v>8</v>
      </c>
      <c r="F11" s="15" t="s">
        <v>21</v>
      </c>
      <c r="I11" s="19"/>
    </row>
    <row r="12" spans="1:9" s="7" customFormat="1" x14ac:dyDescent="0.25">
      <c r="A12" s="10">
        <v>30532787877</v>
      </c>
      <c r="B12" s="11" t="s">
        <v>31</v>
      </c>
      <c r="C12" s="12" t="s">
        <v>32</v>
      </c>
      <c r="D12" s="13">
        <v>342000</v>
      </c>
      <c r="E12" s="14" t="s">
        <v>12</v>
      </c>
      <c r="F12" s="15" t="s">
        <v>9</v>
      </c>
      <c r="I12" s="19"/>
    </row>
    <row r="13" spans="1:9" s="7" customFormat="1" x14ac:dyDescent="0.25">
      <c r="A13" s="10">
        <v>30492787833</v>
      </c>
      <c r="B13" s="11" t="s">
        <v>33</v>
      </c>
      <c r="C13" s="12" t="s">
        <v>34</v>
      </c>
      <c r="D13" s="13">
        <v>21000</v>
      </c>
      <c r="E13" s="14" t="s">
        <v>15</v>
      </c>
      <c r="F13" s="15" t="s">
        <v>9</v>
      </c>
      <c r="I13" s="19"/>
    </row>
    <row r="14" spans="1:9" s="7" customFormat="1" x14ac:dyDescent="0.25">
      <c r="A14" s="10">
        <v>30452787789</v>
      </c>
      <c r="B14" s="11" t="s">
        <v>35</v>
      </c>
      <c r="C14" s="12" t="s">
        <v>7</v>
      </c>
      <c r="D14" s="13">
        <v>56000</v>
      </c>
      <c r="E14" s="14" t="s">
        <v>8</v>
      </c>
      <c r="F14" s="15" t="s">
        <v>16</v>
      </c>
      <c r="I14" s="19"/>
    </row>
    <row r="15" spans="1:9" s="7" customFormat="1" x14ac:dyDescent="0.25">
      <c r="A15" s="10">
        <v>30412787745</v>
      </c>
      <c r="B15" s="11" t="s">
        <v>36</v>
      </c>
      <c r="C15" s="12" t="s">
        <v>37</v>
      </c>
      <c r="D15" s="13">
        <v>76000</v>
      </c>
      <c r="E15" s="14" t="s">
        <v>12</v>
      </c>
      <c r="F15" s="15" t="s">
        <v>16</v>
      </c>
      <c r="I15" s="19"/>
    </row>
    <row r="16" spans="1:9" s="7" customFormat="1" x14ac:dyDescent="0.25">
      <c r="A16" s="10">
        <v>30372787701</v>
      </c>
      <c r="B16" s="11" t="s">
        <v>38</v>
      </c>
      <c r="C16" s="12" t="s">
        <v>39</v>
      </c>
      <c r="D16" s="13">
        <v>87000</v>
      </c>
      <c r="E16" s="14" t="s">
        <v>15</v>
      </c>
      <c r="F16" s="15" t="s">
        <v>21</v>
      </c>
      <c r="I16" s="19"/>
    </row>
    <row r="17" spans="1:9" s="7" customFormat="1" x14ac:dyDescent="0.25">
      <c r="A17" s="10">
        <v>30332787657</v>
      </c>
      <c r="B17" s="11" t="s">
        <v>10</v>
      </c>
      <c r="C17" s="12" t="s">
        <v>40</v>
      </c>
      <c r="D17" s="13">
        <v>9000</v>
      </c>
      <c r="E17" s="14" t="s">
        <v>8</v>
      </c>
      <c r="F17" s="15" t="s">
        <v>9</v>
      </c>
      <c r="I17" s="19"/>
    </row>
    <row r="18" spans="1:9" s="7" customFormat="1" x14ac:dyDescent="0.25">
      <c r="A18" s="10">
        <v>30292787613</v>
      </c>
      <c r="B18" s="11" t="s">
        <v>41</v>
      </c>
      <c r="C18" s="12" t="s">
        <v>7</v>
      </c>
      <c r="D18" s="13">
        <v>32000</v>
      </c>
      <c r="E18" s="14" t="s">
        <v>12</v>
      </c>
      <c r="F18" s="15" t="s">
        <v>9</v>
      </c>
      <c r="I18" s="19"/>
    </row>
    <row r="19" spans="1:9" s="7" customFormat="1" x14ac:dyDescent="0.25">
      <c r="A19" s="10">
        <v>30252787569</v>
      </c>
      <c r="B19" s="11" t="s">
        <v>31</v>
      </c>
      <c r="C19" s="12" t="s">
        <v>7</v>
      </c>
      <c r="D19" s="13">
        <v>46000</v>
      </c>
      <c r="E19" s="14" t="s">
        <v>15</v>
      </c>
      <c r="F19" s="15" t="s">
        <v>16</v>
      </c>
      <c r="I19" s="19"/>
    </row>
    <row r="20" spans="1:9" s="7" customFormat="1" x14ac:dyDescent="0.25">
      <c r="A20" s="10">
        <v>30212787525</v>
      </c>
      <c r="B20" s="11" t="s">
        <v>42</v>
      </c>
      <c r="C20" s="12" t="s">
        <v>14</v>
      </c>
      <c r="D20" s="13">
        <v>76000</v>
      </c>
      <c r="E20" s="14" t="s">
        <v>8</v>
      </c>
      <c r="F20" s="15" t="s">
        <v>16</v>
      </c>
      <c r="I20" s="19"/>
    </row>
    <row r="21" spans="1:9" s="7" customFormat="1" x14ac:dyDescent="0.25">
      <c r="A21" s="10">
        <v>30172787481</v>
      </c>
      <c r="B21" s="11" t="s">
        <v>43</v>
      </c>
      <c r="C21" s="12" t="s">
        <v>18</v>
      </c>
      <c r="D21" s="13">
        <v>98000</v>
      </c>
      <c r="E21" s="14" t="s">
        <v>12</v>
      </c>
      <c r="F21" s="15" t="s">
        <v>21</v>
      </c>
      <c r="I21" s="19"/>
    </row>
    <row r="22" spans="1:9" s="7" customFormat="1" x14ac:dyDescent="0.25">
      <c r="A22" s="10">
        <v>30132787437</v>
      </c>
      <c r="B22" s="11" t="s">
        <v>44</v>
      </c>
      <c r="C22" s="12" t="s">
        <v>23</v>
      </c>
      <c r="D22" s="13">
        <v>43000</v>
      </c>
      <c r="E22" s="14" t="s">
        <v>15</v>
      </c>
      <c r="F22" s="15" t="s">
        <v>9</v>
      </c>
      <c r="I22" s="19"/>
    </row>
    <row r="23" spans="1:9" s="7" customFormat="1" x14ac:dyDescent="0.25">
      <c r="A23" s="10">
        <v>30092787393</v>
      </c>
      <c r="B23" s="11" t="s">
        <v>45</v>
      </c>
      <c r="C23" s="12" t="s">
        <v>23</v>
      </c>
      <c r="D23" s="13">
        <v>32000</v>
      </c>
      <c r="E23" s="14" t="s">
        <v>15</v>
      </c>
      <c r="F23" s="15" t="s">
        <v>9</v>
      </c>
      <c r="I23" s="19"/>
    </row>
    <row r="24" spans="1:9" s="7" customFormat="1" x14ac:dyDescent="0.25">
      <c r="A24" s="10">
        <v>30052787349</v>
      </c>
      <c r="B24" s="11" t="s">
        <v>46</v>
      </c>
      <c r="C24" s="12" t="s">
        <v>7</v>
      </c>
      <c r="D24" s="13">
        <v>43000</v>
      </c>
      <c r="E24" s="14" t="s">
        <v>15</v>
      </c>
      <c r="F24" s="15" t="s">
        <v>16</v>
      </c>
      <c r="I24" s="19"/>
    </row>
    <row r="25" spans="1:9" s="7" customFormat="1" x14ac:dyDescent="0.25">
      <c r="A25" s="10">
        <v>30012787305</v>
      </c>
      <c r="B25" s="11" t="s">
        <v>47</v>
      </c>
      <c r="C25" s="12" t="s">
        <v>26</v>
      </c>
      <c r="D25" s="13">
        <v>32000</v>
      </c>
      <c r="E25" s="14" t="s">
        <v>15</v>
      </c>
      <c r="F25" s="15" t="s">
        <v>16</v>
      </c>
      <c r="I25" s="19"/>
    </row>
    <row r="26" spans="1:9" s="7" customFormat="1" x14ac:dyDescent="0.25">
      <c r="A26" s="10">
        <v>29972787261</v>
      </c>
      <c r="B26" s="11" t="s">
        <v>31</v>
      </c>
      <c r="C26" s="12" t="s">
        <v>28</v>
      </c>
      <c r="D26" s="13">
        <v>33000</v>
      </c>
      <c r="E26" s="14" t="s">
        <v>15</v>
      </c>
      <c r="F26" s="15" t="s">
        <v>21</v>
      </c>
      <c r="I26" s="19"/>
    </row>
    <row r="27" spans="1:9" s="7" customFormat="1" x14ac:dyDescent="0.25">
      <c r="A27" s="10">
        <v>29932787217</v>
      </c>
      <c r="B27" s="11" t="s">
        <v>48</v>
      </c>
      <c r="C27" s="12" t="s">
        <v>23</v>
      </c>
      <c r="D27" s="13">
        <v>44000</v>
      </c>
      <c r="E27" s="14" t="s">
        <v>15</v>
      </c>
      <c r="F27" s="15" t="s">
        <v>9</v>
      </c>
      <c r="I27" s="19"/>
    </row>
    <row r="28" spans="1:9" s="7" customFormat="1" x14ac:dyDescent="0.25">
      <c r="A28" s="10">
        <v>29892787173</v>
      </c>
      <c r="B28" s="11" t="s">
        <v>49</v>
      </c>
      <c r="C28" s="12" t="s">
        <v>32</v>
      </c>
      <c r="D28" s="13">
        <v>55000</v>
      </c>
      <c r="E28" s="14" t="s">
        <v>15</v>
      </c>
      <c r="F28" s="15" t="s">
        <v>9</v>
      </c>
      <c r="I28" s="19"/>
    </row>
    <row r="29" spans="1:9" s="7" customFormat="1" x14ac:dyDescent="0.25">
      <c r="A29" s="10">
        <v>29852787129</v>
      </c>
      <c r="B29" s="11" t="s">
        <v>50</v>
      </c>
      <c r="C29" s="12" t="s">
        <v>34</v>
      </c>
      <c r="D29" s="13">
        <v>6000</v>
      </c>
      <c r="E29" s="14" t="s">
        <v>15</v>
      </c>
      <c r="F29" s="15" t="s">
        <v>16</v>
      </c>
      <c r="I29" s="19"/>
    </row>
    <row r="30" spans="1:9" s="7" customFormat="1" x14ac:dyDescent="0.25">
      <c r="A30" s="10">
        <v>29812787085</v>
      </c>
      <c r="B30" s="11" t="s">
        <v>51</v>
      </c>
      <c r="C30" s="12" t="s">
        <v>52</v>
      </c>
      <c r="D30" s="13">
        <v>12000</v>
      </c>
      <c r="E30" s="14" t="s">
        <v>15</v>
      </c>
      <c r="F30" s="15" t="s">
        <v>16</v>
      </c>
      <c r="I30" s="19"/>
    </row>
    <row r="31" spans="1:9" s="7" customFormat="1" x14ac:dyDescent="0.25">
      <c r="A31" s="10">
        <v>29772787041</v>
      </c>
      <c r="B31" s="11" t="s">
        <v>53</v>
      </c>
      <c r="C31" s="12" t="s">
        <v>37</v>
      </c>
      <c r="D31" s="13">
        <v>34000</v>
      </c>
      <c r="E31" s="14" t="s">
        <v>15</v>
      </c>
      <c r="F31" s="15" t="s">
        <v>21</v>
      </c>
      <c r="I31" s="19"/>
    </row>
    <row r="32" spans="1:9" s="7" customFormat="1" x14ac:dyDescent="0.25">
      <c r="A32" s="10">
        <v>29732786997</v>
      </c>
      <c r="B32" s="11" t="s">
        <v>54</v>
      </c>
      <c r="C32" s="12" t="s">
        <v>52</v>
      </c>
      <c r="D32" s="13">
        <v>23000</v>
      </c>
      <c r="E32" s="14" t="s">
        <v>15</v>
      </c>
      <c r="F32" s="15" t="s">
        <v>9</v>
      </c>
      <c r="I32" s="19"/>
    </row>
    <row r="33" spans="1:9" s="7" customFormat="1" x14ac:dyDescent="0.25">
      <c r="A33" s="10">
        <v>29692786953</v>
      </c>
      <c r="B33" s="11" t="s">
        <v>55</v>
      </c>
      <c r="C33" s="12" t="s">
        <v>37</v>
      </c>
      <c r="D33" s="13">
        <v>43000</v>
      </c>
      <c r="E33" s="14" t="s">
        <v>15</v>
      </c>
      <c r="F33" s="15" t="s">
        <v>9</v>
      </c>
      <c r="I33" s="19"/>
    </row>
    <row r="34" spans="1:9" s="7" customFormat="1" x14ac:dyDescent="0.25">
      <c r="A34" s="10">
        <v>29652786909</v>
      </c>
      <c r="B34" s="11" t="s">
        <v>56</v>
      </c>
      <c r="C34" s="12" t="s">
        <v>26</v>
      </c>
      <c r="D34" s="13">
        <v>54000</v>
      </c>
      <c r="E34" s="14" t="s">
        <v>15</v>
      </c>
      <c r="F34" s="15" t="s">
        <v>16</v>
      </c>
      <c r="I34" s="19"/>
    </row>
    <row r="35" spans="1:9" s="7" customFormat="1" x14ac:dyDescent="0.25">
      <c r="A35" s="10">
        <v>29612786865</v>
      </c>
      <c r="B35" s="11" t="s">
        <v>57</v>
      </c>
      <c r="C35" s="12" t="s">
        <v>40</v>
      </c>
      <c r="D35" s="13">
        <v>1000</v>
      </c>
      <c r="E35" s="14" t="s">
        <v>8</v>
      </c>
      <c r="F35" s="15" t="s">
        <v>16</v>
      </c>
      <c r="I35" s="19"/>
    </row>
    <row r="36" spans="1:9" s="7" customFormat="1" x14ac:dyDescent="0.25">
      <c r="A36" s="10">
        <v>29572786821</v>
      </c>
      <c r="B36" s="11" t="s">
        <v>6</v>
      </c>
      <c r="C36" s="12" t="s">
        <v>7</v>
      </c>
      <c r="D36" s="13">
        <v>2000</v>
      </c>
      <c r="E36" s="14" t="s">
        <v>12</v>
      </c>
      <c r="F36" s="15" t="s">
        <v>21</v>
      </c>
      <c r="I36" s="19"/>
    </row>
    <row r="37" spans="1:9" s="7" customFormat="1" x14ac:dyDescent="0.25">
      <c r="A37" s="10">
        <v>29532786777</v>
      </c>
      <c r="B37" s="11" t="s">
        <v>10</v>
      </c>
      <c r="C37" s="12" t="s">
        <v>11</v>
      </c>
      <c r="D37" s="13">
        <v>3000</v>
      </c>
      <c r="E37" s="14" t="s">
        <v>15</v>
      </c>
      <c r="F37" s="15" t="s">
        <v>9</v>
      </c>
      <c r="I37" s="19"/>
    </row>
    <row r="38" spans="1:9" s="7" customFormat="1" x14ac:dyDescent="0.25">
      <c r="A38" s="10">
        <v>29492786733</v>
      </c>
      <c r="B38" s="11" t="s">
        <v>13</v>
      </c>
      <c r="C38" s="12" t="s">
        <v>14</v>
      </c>
      <c r="D38" s="13">
        <v>15000</v>
      </c>
      <c r="E38" s="14" t="s">
        <v>8</v>
      </c>
      <c r="F38" s="15" t="s">
        <v>9</v>
      </c>
      <c r="I38" s="19"/>
    </row>
    <row r="39" spans="1:9" s="7" customFormat="1" x14ac:dyDescent="0.25">
      <c r="A39" s="10">
        <v>29452786689</v>
      </c>
      <c r="B39" s="11" t="s">
        <v>17</v>
      </c>
      <c r="C39" s="12" t="s">
        <v>18</v>
      </c>
      <c r="D39" s="13">
        <v>12000</v>
      </c>
      <c r="E39" s="14" t="s">
        <v>12</v>
      </c>
      <c r="F39" s="15" t="s">
        <v>16</v>
      </c>
      <c r="I39" s="19"/>
    </row>
    <row r="40" spans="1:9" s="7" customFormat="1" x14ac:dyDescent="0.25">
      <c r="A40" s="10">
        <v>29412786645</v>
      </c>
      <c r="B40" s="11" t="s">
        <v>19</v>
      </c>
      <c r="C40" s="12" t="s">
        <v>20</v>
      </c>
      <c r="D40" s="13">
        <v>34000</v>
      </c>
      <c r="E40" s="14" t="s">
        <v>12</v>
      </c>
      <c r="F40" s="15" t="s">
        <v>16</v>
      </c>
      <c r="I40" s="19"/>
    </row>
    <row r="41" spans="1:9" s="7" customFormat="1" x14ac:dyDescent="0.25">
      <c r="A41" s="10">
        <v>29372786601</v>
      </c>
      <c r="B41" s="11" t="s">
        <v>22</v>
      </c>
      <c r="C41" s="12" t="s">
        <v>23</v>
      </c>
      <c r="D41" s="13">
        <v>32000</v>
      </c>
      <c r="E41" s="14" t="s">
        <v>12</v>
      </c>
      <c r="F41" s="15" t="s">
        <v>21</v>
      </c>
      <c r="I41" s="19"/>
    </row>
    <row r="42" spans="1:9" s="7" customFormat="1" x14ac:dyDescent="0.25">
      <c r="A42" s="10">
        <v>29332786557</v>
      </c>
      <c r="B42" s="11" t="s">
        <v>24</v>
      </c>
      <c r="C42" s="12" t="s">
        <v>7</v>
      </c>
      <c r="D42" s="13">
        <v>43000</v>
      </c>
      <c r="E42" s="14" t="s">
        <v>12</v>
      </c>
      <c r="F42" s="15" t="s">
        <v>9</v>
      </c>
      <c r="I42" s="19"/>
    </row>
    <row r="43" spans="1:9" s="7" customFormat="1" x14ac:dyDescent="0.25">
      <c r="A43" s="10">
        <v>29292786513</v>
      </c>
      <c r="B43" s="11" t="s">
        <v>25</v>
      </c>
      <c r="C43" s="12" t="s">
        <v>26</v>
      </c>
      <c r="D43" s="13">
        <v>2000</v>
      </c>
      <c r="E43" s="14" t="s">
        <v>12</v>
      </c>
      <c r="F43" s="15" t="s">
        <v>9</v>
      </c>
      <c r="I43" s="19"/>
    </row>
    <row r="44" spans="1:9" s="7" customFormat="1" x14ac:dyDescent="0.25">
      <c r="A44" s="10">
        <v>29252786469</v>
      </c>
      <c r="B44" s="11" t="s">
        <v>27</v>
      </c>
      <c r="C44" s="12" t="s">
        <v>28</v>
      </c>
      <c r="D44" s="13">
        <v>32000</v>
      </c>
      <c r="E44" s="14" t="s">
        <v>12</v>
      </c>
      <c r="F44" s="15" t="s">
        <v>16</v>
      </c>
      <c r="I44" s="19"/>
    </row>
    <row r="45" spans="1:9" s="7" customFormat="1" x14ac:dyDescent="0.25">
      <c r="A45" s="10">
        <v>29212786425</v>
      </c>
      <c r="B45" s="11" t="s">
        <v>58</v>
      </c>
      <c r="C45" s="12" t="s">
        <v>30</v>
      </c>
      <c r="D45" s="13">
        <v>43000</v>
      </c>
      <c r="E45" s="14" t="s">
        <v>12</v>
      </c>
      <c r="F45" s="15" t="s">
        <v>16</v>
      </c>
      <c r="I45" s="19"/>
    </row>
    <row r="46" spans="1:9" s="7" customFormat="1" x14ac:dyDescent="0.25">
      <c r="A46" s="10">
        <v>29172786381</v>
      </c>
      <c r="B46" s="11" t="s">
        <v>31</v>
      </c>
      <c r="C46" s="12" t="s">
        <v>7</v>
      </c>
      <c r="D46" s="13">
        <v>54000</v>
      </c>
      <c r="E46" s="14" t="s">
        <v>12</v>
      </c>
      <c r="F46" s="15" t="s">
        <v>21</v>
      </c>
      <c r="I46" s="19"/>
    </row>
    <row r="47" spans="1:9" s="7" customFormat="1" x14ac:dyDescent="0.25">
      <c r="A47" s="10">
        <v>29132786337</v>
      </c>
      <c r="B47" s="11" t="s">
        <v>33</v>
      </c>
      <c r="C47" s="12" t="s">
        <v>34</v>
      </c>
      <c r="D47" s="13">
        <v>65000</v>
      </c>
      <c r="E47" s="14" t="s">
        <v>12</v>
      </c>
      <c r="F47" s="15" t="s">
        <v>9</v>
      </c>
      <c r="I47" s="19"/>
    </row>
    <row r="48" spans="1:9" s="7" customFormat="1" x14ac:dyDescent="0.25">
      <c r="A48" s="10">
        <v>29092786293</v>
      </c>
      <c r="B48" s="11" t="s">
        <v>35</v>
      </c>
      <c r="C48" s="12" t="s">
        <v>7</v>
      </c>
      <c r="D48" s="13">
        <v>76000</v>
      </c>
      <c r="E48" s="14" t="s">
        <v>12</v>
      </c>
      <c r="F48" s="15" t="s">
        <v>9</v>
      </c>
      <c r="I48" s="19"/>
    </row>
    <row r="49" spans="1:9" s="7" customFormat="1" x14ac:dyDescent="0.25">
      <c r="A49" s="10">
        <v>29052786249</v>
      </c>
      <c r="B49" s="11" t="s">
        <v>36</v>
      </c>
      <c r="C49" s="12" t="s">
        <v>37</v>
      </c>
      <c r="D49" s="13">
        <v>87000</v>
      </c>
      <c r="E49" s="14" t="s">
        <v>12</v>
      </c>
      <c r="F49" s="15" t="s">
        <v>16</v>
      </c>
      <c r="I49" s="19"/>
    </row>
    <row r="50" spans="1:9" s="7" customFormat="1" x14ac:dyDescent="0.25">
      <c r="A50" s="10">
        <v>29012786205</v>
      </c>
      <c r="B50" s="11" t="s">
        <v>38</v>
      </c>
      <c r="C50" s="12" t="s">
        <v>39</v>
      </c>
      <c r="D50" s="13">
        <v>98000</v>
      </c>
      <c r="E50" s="14" t="s">
        <v>12</v>
      </c>
      <c r="F50" s="15" t="s">
        <v>16</v>
      </c>
      <c r="I50" s="19"/>
    </row>
    <row r="51" spans="1:9" s="7" customFormat="1" x14ac:dyDescent="0.25">
      <c r="A51" s="10">
        <v>28972786161</v>
      </c>
      <c r="B51" s="11" t="s">
        <v>10</v>
      </c>
      <c r="C51" s="12" t="s">
        <v>40</v>
      </c>
      <c r="D51" s="13">
        <v>342000</v>
      </c>
      <c r="E51" s="14" t="s">
        <v>12</v>
      </c>
      <c r="F51" s="15" t="s">
        <v>21</v>
      </c>
      <c r="I51" s="19"/>
    </row>
    <row r="52" spans="1:9" s="7" customFormat="1" x14ac:dyDescent="0.25">
      <c r="A52" s="10">
        <v>28932786117</v>
      </c>
      <c r="B52" s="11" t="s">
        <v>41</v>
      </c>
      <c r="C52" s="12" t="s">
        <v>7</v>
      </c>
      <c r="D52" s="13">
        <v>21000</v>
      </c>
      <c r="E52" s="14" t="s">
        <v>12</v>
      </c>
      <c r="F52" s="15" t="s">
        <v>9</v>
      </c>
      <c r="I52" s="19"/>
    </row>
    <row r="53" spans="1:9" s="7" customFormat="1" x14ac:dyDescent="0.25">
      <c r="A53" s="10">
        <v>28892786073</v>
      </c>
      <c r="B53" s="11" t="s">
        <v>31</v>
      </c>
      <c r="C53" s="12" t="s">
        <v>7</v>
      </c>
      <c r="D53" s="13">
        <v>56000</v>
      </c>
      <c r="E53" s="14" t="s">
        <v>8</v>
      </c>
      <c r="F53" s="15" t="s">
        <v>9</v>
      </c>
      <c r="I53" s="19"/>
    </row>
    <row r="54" spans="1:9" s="7" customFormat="1" x14ac:dyDescent="0.25">
      <c r="A54" s="10">
        <v>28852786029</v>
      </c>
      <c r="B54" s="11" t="s">
        <v>42</v>
      </c>
      <c r="C54" s="12" t="s">
        <v>14</v>
      </c>
      <c r="D54" s="13">
        <v>76000</v>
      </c>
      <c r="E54" s="14" t="s">
        <v>12</v>
      </c>
      <c r="F54" s="15" t="s">
        <v>16</v>
      </c>
      <c r="I54" s="19"/>
    </row>
    <row r="55" spans="1:9" s="7" customFormat="1" x14ac:dyDescent="0.25">
      <c r="A55" s="10">
        <v>28812785985</v>
      </c>
      <c r="B55" s="11" t="s">
        <v>43</v>
      </c>
      <c r="C55" s="12" t="s">
        <v>18</v>
      </c>
      <c r="D55" s="13">
        <v>87000</v>
      </c>
      <c r="E55" s="14" t="s">
        <v>15</v>
      </c>
      <c r="F55" s="15" t="s">
        <v>16</v>
      </c>
      <c r="I55" s="19"/>
    </row>
    <row r="56" spans="1:9" s="7" customFormat="1" x14ac:dyDescent="0.25">
      <c r="A56" s="10">
        <v>28772785941</v>
      </c>
      <c r="B56" s="11" t="s">
        <v>44</v>
      </c>
      <c r="C56" s="12" t="s">
        <v>23</v>
      </c>
      <c r="D56" s="13">
        <v>9000</v>
      </c>
      <c r="E56" s="14" t="s">
        <v>8</v>
      </c>
      <c r="F56" s="15" t="s">
        <v>21</v>
      </c>
      <c r="I56" s="19"/>
    </row>
    <row r="57" spans="1:9" s="7" customFormat="1" x14ac:dyDescent="0.25">
      <c r="A57" s="10">
        <v>28732785897</v>
      </c>
      <c r="B57" s="11" t="s">
        <v>25</v>
      </c>
      <c r="C57" s="12" t="s">
        <v>28</v>
      </c>
      <c r="D57" s="13">
        <v>32000</v>
      </c>
      <c r="E57" s="14" t="s">
        <v>12</v>
      </c>
      <c r="F57" s="15" t="s">
        <v>9</v>
      </c>
      <c r="I57" s="19"/>
    </row>
    <row r="58" spans="1:9" s="7" customFormat="1" x14ac:dyDescent="0.25">
      <c r="A58" s="10">
        <v>28692785853</v>
      </c>
      <c r="B58" s="11" t="s">
        <v>46</v>
      </c>
      <c r="C58" s="12" t="s">
        <v>52</v>
      </c>
      <c r="D58" s="13">
        <v>46000</v>
      </c>
      <c r="E58" s="14" t="s">
        <v>15</v>
      </c>
      <c r="F58" s="15" t="s">
        <v>9</v>
      </c>
      <c r="I58" s="19"/>
    </row>
    <row r="59" spans="1:9" s="7" customFormat="1" x14ac:dyDescent="0.25">
      <c r="A59" s="10">
        <v>28652785809</v>
      </c>
      <c r="B59" s="11" t="s">
        <v>47</v>
      </c>
      <c r="C59" s="12" t="s">
        <v>26</v>
      </c>
      <c r="D59" s="13">
        <v>76000</v>
      </c>
      <c r="E59" s="14" t="s">
        <v>8</v>
      </c>
      <c r="F59" s="15" t="s">
        <v>16</v>
      </c>
      <c r="I59" s="19"/>
    </row>
    <row r="60" spans="1:9" s="7" customFormat="1" x14ac:dyDescent="0.25">
      <c r="A60" s="10">
        <v>28612785765</v>
      </c>
      <c r="B60" s="11" t="s">
        <v>31</v>
      </c>
      <c r="C60" s="12" t="s">
        <v>28</v>
      </c>
      <c r="D60" s="13">
        <v>98000</v>
      </c>
      <c r="E60" s="14" t="s">
        <v>12</v>
      </c>
      <c r="F60" s="15" t="s">
        <v>16</v>
      </c>
      <c r="I60" s="19"/>
    </row>
    <row r="61" spans="1:9" s="7" customFormat="1" x14ac:dyDescent="0.25">
      <c r="A61" s="10">
        <v>28572785721</v>
      </c>
      <c r="B61" s="11" t="s">
        <v>48</v>
      </c>
      <c r="C61" s="12" t="s">
        <v>23</v>
      </c>
      <c r="D61" s="13">
        <v>43000</v>
      </c>
      <c r="E61" s="14" t="s">
        <v>15</v>
      </c>
      <c r="F61" s="15" t="s">
        <v>21</v>
      </c>
      <c r="I61" s="19"/>
    </row>
    <row r="62" spans="1:9" s="7" customFormat="1" x14ac:dyDescent="0.25">
      <c r="A62" s="10">
        <v>28532785677</v>
      </c>
      <c r="B62" s="11" t="s">
        <v>59</v>
      </c>
      <c r="C62" s="12" t="s">
        <v>32</v>
      </c>
      <c r="D62" s="13">
        <v>32000</v>
      </c>
      <c r="E62" s="14" t="s">
        <v>8</v>
      </c>
      <c r="F62" s="15" t="s">
        <v>9</v>
      </c>
      <c r="I62" s="19"/>
    </row>
    <row r="63" spans="1:9" s="7" customFormat="1" x14ac:dyDescent="0.25">
      <c r="A63" s="10">
        <v>28492785633</v>
      </c>
      <c r="B63" s="11" t="s">
        <v>50</v>
      </c>
      <c r="C63" s="12" t="s">
        <v>34</v>
      </c>
      <c r="D63" s="13">
        <v>43000</v>
      </c>
      <c r="E63" s="14" t="s">
        <v>12</v>
      </c>
      <c r="F63" s="15" t="s">
        <v>9</v>
      </c>
      <c r="I63" s="19"/>
    </row>
    <row r="64" spans="1:9" s="7" customFormat="1" x14ac:dyDescent="0.25">
      <c r="A64" s="10">
        <v>28452785589</v>
      </c>
      <c r="B64" s="11" t="s">
        <v>51</v>
      </c>
      <c r="C64" s="12" t="s">
        <v>52</v>
      </c>
      <c r="D64" s="13">
        <v>32000</v>
      </c>
      <c r="E64" s="14" t="s">
        <v>15</v>
      </c>
      <c r="F64" s="15" t="s">
        <v>16</v>
      </c>
      <c r="I64" s="19"/>
    </row>
    <row r="65" spans="1:9" s="7" customFormat="1" x14ac:dyDescent="0.25">
      <c r="A65" s="10">
        <v>28412785545</v>
      </c>
      <c r="B65" s="11" t="s">
        <v>53</v>
      </c>
      <c r="C65" s="12" t="s">
        <v>37</v>
      </c>
      <c r="D65" s="13">
        <v>33000</v>
      </c>
      <c r="E65" s="14" t="s">
        <v>8</v>
      </c>
      <c r="F65" s="15" t="s">
        <v>16</v>
      </c>
      <c r="I65" s="19"/>
    </row>
    <row r="66" spans="1:9" s="7" customFormat="1" x14ac:dyDescent="0.25">
      <c r="A66" s="10">
        <v>28372785501</v>
      </c>
      <c r="B66" s="11" t="s">
        <v>54</v>
      </c>
      <c r="C66" s="12" t="s">
        <v>52</v>
      </c>
      <c r="D66" s="13">
        <v>44000</v>
      </c>
      <c r="E66" s="14" t="s">
        <v>12</v>
      </c>
      <c r="F66" s="15" t="s">
        <v>21</v>
      </c>
      <c r="I66" s="19"/>
    </row>
    <row r="67" spans="1:9" s="7" customFormat="1" x14ac:dyDescent="0.25">
      <c r="A67" s="10">
        <v>28332785457</v>
      </c>
      <c r="B67" s="11" t="s">
        <v>55</v>
      </c>
      <c r="C67" s="12" t="s">
        <v>37</v>
      </c>
      <c r="D67" s="13">
        <v>55000</v>
      </c>
      <c r="E67" s="14" t="s">
        <v>15</v>
      </c>
      <c r="F67" s="15" t="s">
        <v>9</v>
      </c>
      <c r="I67" s="19"/>
    </row>
    <row r="68" spans="1:9" s="7" customFormat="1" x14ac:dyDescent="0.25">
      <c r="A68" s="10">
        <v>28292785413</v>
      </c>
      <c r="B68" s="11" t="s">
        <v>56</v>
      </c>
      <c r="C68" s="12" t="s">
        <v>26</v>
      </c>
      <c r="D68" s="13">
        <v>6000</v>
      </c>
      <c r="E68" s="14" t="s">
        <v>8</v>
      </c>
      <c r="F68" s="15" t="s">
        <v>9</v>
      </c>
      <c r="I68" s="19"/>
    </row>
    <row r="69" spans="1:9" s="7" customFormat="1" x14ac:dyDescent="0.25">
      <c r="A69" s="10">
        <v>28252785369</v>
      </c>
      <c r="B69" s="11" t="s">
        <v>57</v>
      </c>
      <c r="C69" s="12" t="s">
        <v>40</v>
      </c>
      <c r="D69" s="13">
        <v>12000</v>
      </c>
      <c r="E69" s="14" t="s">
        <v>12</v>
      </c>
      <c r="F69" s="15" t="s">
        <v>16</v>
      </c>
      <c r="I69" s="19"/>
    </row>
    <row r="70" spans="1:9" s="7" customFormat="1" x14ac:dyDescent="0.25">
      <c r="A70" s="10">
        <v>28212785325</v>
      </c>
      <c r="B70" s="11" t="s">
        <v>6</v>
      </c>
      <c r="C70" s="12" t="s">
        <v>7</v>
      </c>
      <c r="D70" s="13">
        <v>34000</v>
      </c>
      <c r="E70" s="14" t="s">
        <v>15</v>
      </c>
      <c r="F70" s="15" t="s">
        <v>16</v>
      </c>
      <c r="I70" s="19"/>
    </row>
    <row r="71" spans="1:9" s="7" customFormat="1" x14ac:dyDescent="0.25">
      <c r="A71" s="10">
        <v>28172785281</v>
      </c>
      <c r="B71" s="11" t="s">
        <v>10</v>
      </c>
      <c r="C71" s="12" t="s">
        <v>11</v>
      </c>
      <c r="D71" s="13">
        <v>23000</v>
      </c>
      <c r="E71" s="14" t="s">
        <v>8</v>
      </c>
      <c r="F71" s="15" t="s">
        <v>21</v>
      </c>
      <c r="I71" s="19"/>
    </row>
    <row r="72" spans="1:9" s="7" customFormat="1" x14ac:dyDescent="0.25">
      <c r="A72" s="10">
        <v>28132785237</v>
      </c>
      <c r="B72" s="11" t="s">
        <v>13</v>
      </c>
      <c r="C72" s="12" t="s">
        <v>14</v>
      </c>
      <c r="D72" s="13">
        <v>43000</v>
      </c>
      <c r="E72" s="14" t="s">
        <v>12</v>
      </c>
      <c r="F72" s="15" t="s">
        <v>9</v>
      </c>
      <c r="I72" s="19"/>
    </row>
    <row r="73" spans="1:9" s="7" customFormat="1" x14ac:dyDescent="0.25">
      <c r="A73" s="10">
        <v>28092785193</v>
      </c>
      <c r="B73" s="11" t="s">
        <v>60</v>
      </c>
      <c r="C73" s="12" t="s">
        <v>18</v>
      </c>
      <c r="D73" s="13">
        <v>54000</v>
      </c>
      <c r="E73" s="14" t="s">
        <v>15</v>
      </c>
      <c r="F73" s="15" t="s">
        <v>9</v>
      </c>
      <c r="I73" s="19"/>
    </row>
    <row r="74" spans="1:9" s="7" customFormat="1" x14ac:dyDescent="0.25">
      <c r="A74" s="10">
        <v>28052785149</v>
      </c>
      <c r="B74" s="11" t="s">
        <v>19</v>
      </c>
      <c r="C74" s="12" t="s">
        <v>20</v>
      </c>
      <c r="D74" s="13">
        <v>1000</v>
      </c>
      <c r="E74" s="14" t="s">
        <v>8</v>
      </c>
      <c r="F74" s="15" t="s">
        <v>16</v>
      </c>
      <c r="I74" s="19"/>
    </row>
    <row r="75" spans="1:9" s="7" customFormat="1" x14ac:dyDescent="0.25">
      <c r="A75" s="10">
        <v>28012785105</v>
      </c>
      <c r="B75" s="11" t="s">
        <v>22</v>
      </c>
      <c r="C75" s="12" t="s">
        <v>23</v>
      </c>
      <c r="D75" s="13">
        <v>2000</v>
      </c>
      <c r="E75" s="14" t="s">
        <v>12</v>
      </c>
      <c r="F75" s="15" t="s">
        <v>16</v>
      </c>
      <c r="I75" s="19"/>
    </row>
    <row r="76" spans="1:9" s="7" customFormat="1" x14ac:dyDescent="0.25">
      <c r="A76" s="10">
        <v>27972785061</v>
      </c>
      <c r="B76" s="11" t="s">
        <v>24</v>
      </c>
      <c r="C76" s="12" t="s">
        <v>7</v>
      </c>
      <c r="D76" s="13">
        <v>3000</v>
      </c>
      <c r="E76" s="14" t="s">
        <v>15</v>
      </c>
      <c r="F76" s="15" t="s">
        <v>21</v>
      </c>
      <c r="I76" s="19"/>
    </row>
    <row r="77" spans="1:9" s="7" customFormat="1" x14ac:dyDescent="0.25">
      <c r="A77" s="10">
        <v>27932785017</v>
      </c>
      <c r="B77" s="11" t="s">
        <v>25</v>
      </c>
      <c r="C77" s="12" t="s">
        <v>26</v>
      </c>
      <c r="D77" s="13">
        <v>15000</v>
      </c>
      <c r="E77" s="14" t="s">
        <v>8</v>
      </c>
      <c r="F77" s="15" t="s">
        <v>9</v>
      </c>
      <c r="I77" s="19"/>
    </row>
    <row r="78" spans="1:9" s="7" customFormat="1" x14ac:dyDescent="0.25">
      <c r="A78" s="10">
        <v>27892784973</v>
      </c>
      <c r="B78" s="11" t="s">
        <v>27</v>
      </c>
      <c r="C78" s="12" t="s">
        <v>28</v>
      </c>
      <c r="D78" s="13">
        <v>12000</v>
      </c>
      <c r="E78" s="14" t="s">
        <v>12</v>
      </c>
      <c r="F78" s="15" t="s">
        <v>9</v>
      </c>
      <c r="I78" s="19"/>
    </row>
    <row r="79" spans="1:9" s="7" customFormat="1" x14ac:dyDescent="0.25">
      <c r="A79" s="10">
        <v>27852784929</v>
      </c>
      <c r="B79" s="11" t="s">
        <v>29</v>
      </c>
      <c r="C79" s="12" t="s">
        <v>30</v>
      </c>
      <c r="D79" s="13">
        <v>34000</v>
      </c>
      <c r="E79" s="14" t="s">
        <v>12</v>
      </c>
      <c r="F79" s="15" t="s">
        <v>16</v>
      </c>
      <c r="I79" s="19"/>
    </row>
    <row r="80" spans="1:9" s="7" customFormat="1" x14ac:dyDescent="0.25">
      <c r="A80" s="10">
        <v>27812784885</v>
      </c>
      <c r="B80" s="11" t="s">
        <v>31</v>
      </c>
      <c r="C80" s="12" t="s">
        <v>7</v>
      </c>
      <c r="D80" s="13">
        <v>32000</v>
      </c>
      <c r="E80" s="14" t="s">
        <v>12</v>
      </c>
      <c r="F80" s="15" t="s">
        <v>16</v>
      </c>
      <c r="I80" s="19"/>
    </row>
    <row r="81" spans="1:9" s="7" customFormat="1" x14ac:dyDescent="0.25">
      <c r="A81" s="10">
        <v>27772784841</v>
      </c>
      <c r="B81" s="11" t="s">
        <v>61</v>
      </c>
      <c r="C81" s="12" t="s">
        <v>34</v>
      </c>
      <c r="D81" s="13">
        <v>43000</v>
      </c>
      <c r="E81" s="14" t="s">
        <v>12</v>
      </c>
      <c r="F81" s="15" t="s">
        <v>21</v>
      </c>
      <c r="I81" s="19"/>
    </row>
    <row r="82" spans="1:9" s="7" customFormat="1" x14ac:dyDescent="0.25">
      <c r="A82" s="10">
        <v>27732784797</v>
      </c>
      <c r="B82" s="11" t="s">
        <v>35</v>
      </c>
      <c r="C82" s="12" t="s">
        <v>52</v>
      </c>
      <c r="D82" s="13">
        <v>2000</v>
      </c>
      <c r="E82" s="14" t="s">
        <v>12</v>
      </c>
      <c r="F82" s="15" t="s">
        <v>9</v>
      </c>
      <c r="I82" s="19"/>
    </row>
    <row r="83" spans="1:9" s="7" customFormat="1" x14ac:dyDescent="0.25">
      <c r="A83" s="10">
        <v>27692784753</v>
      </c>
      <c r="B83" s="11" t="s">
        <v>36</v>
      </c>
      <c r="C83" s="12" t="s">
        <v>37</v>
      </c>
      <c r="D83" s="13">
        <v>32000</v>
      </c>
      <c r="E83" s="14" t="s">
        <v>12</v>
      </c>
      <c r="F83" s="15" t="s">
        <v>9</v>
      </c>
      <c r="I83" s="19"/>
    </row>
    <row r="84" spans="1:9" s="7" customFormat="1" x14ac:dyDescent="0.25">
      <c r="A84" s="10">
        <v>27652784709</v>
      </c>
      <c r="B84" s="11" t="s">
        <v>38</v>
      </c>
      <c r="C84" s="12" t="s">
        <v>39</v>
      </c>
      <c r="D84" s="13">
        <v>43000</v>
      </c>
      <c r="E84" s="14" t="s">
        <v>12</v>
      </c>
      <c r="F84" s="15" t="s">
        <v>16</v>
      </c>
      <c r="I84" s="19"/>
    </row>
    <row r="85" spans="1:9" s="7" customFormat="1" x14ac:dyDescent="0.25">
      <c r="A85" s="10">
        <v>27612784665</v>
      </c>
      <c r="B85" s="11" t="s">
        <v>10</v>
      </c>
      <c r="C85" s="12" t="s">
        <v>40</v>
      </c>
      <c r="D85" s="13">
        <v>54000</v>
      </c>
      <c r="E85" s="14" t="s">
        <v>12</v>
      </c>
      <c r="F85" s="15" t="s">
        <v>16</v>
      </c>
      <c r="I85" s="19"/>
    </row>
    <row r="86" spans="1:9" s="7" customFormat="1" x14ac:dyDescent="0.25">
      <c r="A86" s="10">
        <v>27572784621</v>
      </c>
      <c r="B86" s="11" t="s">
        <v>41</v>
      </c>
      <c r="C86" s="12" t="s">
        <v>7</v>
      </c>
      <c r="D86" s="13">
        <v>65000</v>
      </c>
      <c r="E86" s="14" t="s">
        <v>12</v>
      </c>
      <c r="F86" s="15" t="s">
        <v>21</v>
      </c>
      <c r="I86" s="19"/>
    </row>
    <row r="87" spans="1:9" s="7" customFormat="1" x14ac:dyDescent="0.25">
      <c r="A87" s="10">
        <v>27532784577</v>
      </c>
      <c r="B87" s="11" t="s">
        <v>31</v>
      </c>
      <c r="C87" s="12" t="s">
        <v>7</v>
      </c>
      <c r="D87" s="13">
        <v>76000</v>
      </c>
      <c r="E87" s="14" t="s">
        <v>12</v>
      </c>
      <c r="F87" s="15" t="s">
        <v>9</v>
      </c>
      <c r="I87" s="19"/>
    </row>
    <row r="88" spans="1:9" s="7" customFormat="1" x14ac:dyDescent="0.25">
      <c r="A88" s="10">
        <v>27492784533</v>
      </c>
      <c r="B88" s="11" t="s">
        <v>42</v>
      </c>
      <c r="C88" s="12" t="s">
        <v>14</v>
      </c>
      <c r="D88" s="13">
        <v>87000</v>
      </c>
      <c r="E88" s="14" t="s">
        <v>12</v>
      </c>
      <c r="F88" s="15" t="s">
        <v>9</v>
      </c>
      <c r="I88" s="19"/>
    </row>
    <row r="89" spans="1:9" s="7" customFormat="1" x14ac:dyDescent="0.25">
      <c r="A89" s="10">
        <v>27452784489</v>
      </c>
      <c r="B89" s="11" t="s">
        <v>43</v>
      </c>
      <c r="C89" s="12" t="s">
        <v>18</v>
      </c>
      <c r="D89" s="13">
        <v>98000</v>
      </c>
      <c r="E89" s="14" t="s">
        <v>12</v>
      </c>
      <c r="F89" s="15" t="s">
        <v>16</v>
      </c>
      <c r="I89" s="19"/>
    </row>
    <row r="90" spans="1:9" s="7" customFormat="1" x14ac:dyDescent="0.25">
      <c r="A90" s="10">
        <v>27412784445</v>
      </c>
      <c r="B90" s="11" t="s">
        <v>44</v>
      </c>
      <c r="C90" s="12" t="s">
        <v>23</v>
      </c>
      <c r="D90" s="13">
        <v>342000</v>
      </c>
      <c r="E90" s="14" t="s">
        <v>12</v>
      </c>
      <c r="F90" s="15" t="s">
        <v>16</v>
      </c>
      <c r="I90" s="19"/>
    </row>
    <row r="91" spans="1:9" s="7" customFormat="1" x14ac:dyDescent="0.25">
      <c r="A91" s="10">
        <v>27372784401</v>
      </c>
      <c r="B91" s="11" t="s">
        <v>45</v>
      </c>
      <c r="C91" s="12" t="s">
        <v>23</v>
      </c>
      <c r="D91" s="13">
        <v>21000</v>
      </c>
      <c r="E91" s="14" t="s">
        <v>15</v>
      </c>
      <c r="F91" s="15" t="s">
        <v>21</v>
      </c>
      <c r="I91" s="19"/>
    </row>
    <row r="92" spans="1:9" s="7" customFormat="1" x14ac:dyDescent="0.25">
      <c r="A92" s="10">
        <v>27332784357</v>
      </c>
      <c r="B92" s="11" t="s">
        <v>46</v>
      </c>
      <c r="C92" s="12" t="s">
        <v>7</v>
      </c>
      <c r="D92" s="13">
        <v>56000</v>
      </c>
      <c r="E92" s="14" t="s">
        <v>8</v>
      </c>
      <c r="F92" s="15" t="s">
        <v>9</v>
      </c>
      <c r="I92" s="19"/>
    </row>
    <row r="93" spans="1:9" s="7" customFormat="1" x14ac:dyDescent="0.25">
      <c r="A93" s="10">
        <v>27292784313</v>
      </c>
      <c r="B93" s="11" t="s">
        <v>47</v>
      </c>
      <c r="C93" s="12" t="s">
        <v>26</v>
      </c>
      <c r="D93" s="13">
        <v>76000</v>
      </c>
      <c r="E93" s="14" t="s">
        <v>12</v>
      </c>
      <c r="F93" s="15" t="s">
        <v>9</v>
      </c>
      <c r="I93" s="19"/>
    </row>
    <row r="94" spans="1:9" s="7" customFormat="1" x14ac:dyDescent="0.25">
      <c r="A94" s="10">
        <v>27252784269</v>
      </c>
      <c r="B94" s="11" t="s">
        <v>31</v>
      </c>
      <c r="C94" s="12" t="s">
        <v>28</v>
      </c>
      <c r="D94" s="13">
        <v>87000</v>
      </c>
      <c r="E94" s="14" t="s">
        <v>15</v>
      </c>
      <c r="F94" s="15" t="s">
        <v>16</v>
      </c>
      <c r="I94" s="19"/>
    </row>
    <row r="95" spans="1:9" s="7" customFormat="1" x14ac:dyDescent="0.25">
      <c r="A95" s="10">
        <v>27212784225</v>
      </c>
      <c r="B95" s="11" t="s">
        <v>48</v>
      </c>
      <c r="C95" s="12" t="s">
        <v>30</v>
      </c>
      <c r="D95" s="13">
        <v>9000</v>
      </c>
      <c r="E95" s="14" t="s">
        <v>8</v>
      </c>
      <c r="F95" s="15" t="s">
        <v>16</v>
      </c>
      <c r="I95" s="19"/>
    </row>
    <row r="96" spans="1:9" s="7" customFormat="1" x14ac:dyDescent="0.25">
      <c r="A96" s="10">
        <v>27172784181</v>
      </c>
      <c r="B96" s="11" t="s">
        <v>59</v>
      </c>
      <c r="C96" s="12" t="s">
        <v>32</v>
      </c>
      <c r="D96" s="13">
        <v>32000</v>
      </c>
      <c r="E96" s="14" t="s">
        <v>12</v>
      </c>
      <c r="F96" s="15" t="s">
        <v>21</v>
      </c>
      <c r="I96" s="19"/>
    </row>
    <row r="97" spans="1:9" s="7" customFormat="1" x14ac:dyDescent="0.25">
      <c r="A97" s="10">
        <v>27132784137</v>
      </c>
      <c r="B97" s="11" t="s">
        <v>50</v>
      </c>
      <c r="C97" s="12" t="s">
        <v>34</v>
      </c>
      <c r="D97" s="13">
        <v>46000</v>
      </c>
      <c r="E97" s="14" t="s">
        <v>15</v>
      </c>
      <c r="F97" s="15" t="s">
        <v>9</v>
      </c>
      <c r="I97" s="19"/>
    </row>
    <row r="98" spans="1:9" s="7" customFormat="1" x14ac:dyDescent="0.25">
      <c r="A98" s="10">
        <v>27092784093</v>
      </c>
      <c r="B98" s="11" t="s">
        <v>51</v>
      </c>
      <c r="C98" s="12" t="s">
        <v>52</v>
      </c>
      <c r="D98" s="13">
        <v>76000</v>
      </c>
      <c r="E98" s="14" t="s">
        <v>8</v>
      </c>
      <c r="F98" s="15" t="s">
        <v>9</v>
      </c>
      <c r="I98" s="19"/>
    </row>
    <row r="99" spans="1:9" s="7" customFormat="1" x14ac:dyDescent="0.25">
      <c r="A99" s="14">
        <v>27052784049</v>
      </c>
      <c r="B99" s="11" t="s">
        <v>53</v>
      </c>
      <c r="C99" s="15" t="s">
        <v>37</v>
      </c>
      <c r="D99" s="13">
        <v>98000</v>
      </c>
      <c r="E99" s="14" t="s">
        <v>12</v>
      </c>
      <c r="F99" s="15" t="s">
        <v>16</v>
      </c>
      <c r="I99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zoomScale="130" zoomScaleNormal="130" workbookViewId="0">
      <selection activeCell="F10" sqref="F10:F20"/>
    </sheetView>
  </sheetViews>
  <sheetFormatPr defaultRowHeight="12.75" x14ac:dyDescent="0.2"/>
  <cols>
    <col min="1" max="1" width="10.5703125" bestFit="1" customWidth="1"/>
    <col min="2" max="2" width="11.42578125" customWidth="1"/>
    <col min="3" max="3" width="10.85546875" bestFit="1" customWidth="1"/>
    <col min="5" max="5" width="9.85546875" bestFit="1" customWidth="1"/>
    <col min="8" max="9" width="10.85546875" bestFit="1" customWidth="1"/>
  </cols>
  <sheetData>
    <row r="1" spans="1:12" x14ac:dyDescent="0.2">
      <c r="A1" s="25" t="s">
        <v>62</v>
      </c>
      <c r="B1" s="25" t="s">
        <v>63</v>
      </c>
      <c r="C1" s="25" t="s">
        <v>64</v>
      </c>
      <c r="E1" s="25" t="s">
        <v>65</v>
      </c>
      <c r="F1" s="25" t="s">
        <v>66</v>
      </c>
      <c r="H1" s="25" t="s">
        <v>62</v>
      </c>
      <c r="I1" s="25" t="s">
        <v>64</v>
      </c>
      <c r="K1" s="25" t="s">
        <v>65</v>
      </c>
      <c r="L1" s="25" t="s">
        <v>66</v>
      </c>
    </row>
    <row r="2" spans="1:12" x14ac:dyDescent="0.2">
      <c r="A2" t="s">
        <v>67</v>
      </c>
      <c r="B2" t="s">
        <v>68</v>
      </c>
      <c r="C2">
        <v>550</v>
      </c>
      <c r="E2" t="s">
        <v>69</v>
      </c>
      <c r="F2">
        <v>0.12</v>
      </c>
      <c r="H2" s="1" t="s">
        <v>67</v>
      </c>
      <c r="I2">
        <f>VLOOKUP(H2,A1:C7,3,0)</f>
        <v>550</v>
      </c>
      <c r="K2" t="s">
        <v>70</v>
      </c>
      <c r="L2">
        <f>VLOOKUP(K2,E1:F5,2,0)</f>
        <v>0.14000000000000001</v>
      </c>
    </row>
    <row r="3" spans="1:12" x14ac:dyDescent="0.2">
      <c r="A3" t="s">
        <v>71</v>
      </c>
      <c r="B3" t="s">
        <v>72</v>
      </c>
      <c r="C3">
        <v>800</v>
      </c>
      <c r="E3" t="s">
        <v>73</v>
      </c>
      <c r="F3">
        <v>0.08</v>
      </c>
      <c r="H3" s="1"/>
    </row>
    <row r="4" spans="1:12" x14ac:dyDescent="0.2">
      <c r="A4" t="s">
        <v>74</v>
      </c>
      <c r="B4" t="s">
        <v>75</v>
      </c>
      <c r="C4">
        <v>300</v>
      </c>
      <c r="E4" t="s">
        <v>70</v>
      </c>
      <c r="F4">
        <v>0.14000000000000001</v>
      </c>
      <c r="H4" s="1"/>
    </row>
    <row r="5" spans="1:12" x14ac:dyDescent="0.2">
      <c r="A5" t="s">
        <v>76</v>
      </c>
      <c r="B5" t="s">
        <v>77</v>
      </c>
      <c r="C5">
        <v>700</v>
      </c>
      <c r="E5" t="s">
        <v>78</v>
      </c>
      <c r="F5">
        <v>0.11</v>
      </c>
      <c r="H5" s="1"/>
    </row>
    <row r="6" spans="1:12" x14ac:dyDescent="0.2">
      <c r="A6" t="s">
        <v>79</v>
      </c>
      <c r="B6" t="s">
        <v>80</v>
      </c>
      <c r="C6">
        <v>1300</v>
      </c>
      <c r="H6" s="1"/>
    </row>
    <row r="7" spans="1:12" x14ac:dyDescent="0.2">
      <c r="A7" t="s">
        <v>81</v>
      </c>
      <c r="B7" t="s">
        <v>82</v>
      </c>
      <c r="C7">
        <v>20</v>
      </c>
      <c r="H7" s="1"/>
    </row>
    <row r="8" spans="1:12" x14ac:dyDescent="0.2">
      <c r="H8" s="1"/>
    </row>
    <row r="9" spans="1:12" x14ac:dyDescent="0.2">
      <c r="E9" s="26" t="s">
        <v>62</v>
      </c>
      <c r="F9" s="25" t="s">
        <v>63</v>
      </c>
      <c r="H9" s="1"/>
    </row>
    <row r="10" spans="1:12" x14ac:dyDescent="0.2">
      <c r="E10" s="1" t="s">
        <v>67</v>
      </c>
      <c r="F10" t="str">
        <f>VLOOKUP(E10,A$1:C$7,2,0)</f>
        <v>TV</v>
      </c>
      <c r="H10" s="1"/>
    </row>
    <row r="11" spans="1:12" x14ac:dyDescent="0.2">
      <c r="E11" s="1" t="s">
        <v>76</v>
      </c>
      <c r="F11" t="str">
        <f t="shared" ref="F11:F20" si="0">VLOOKUP(E11,A$1:C$7,2,0)</f>
        <v>Kasa</v>
      </c>
      <c r="H11" s="1"/>
    </row>
    <row r="12" spans="1:12" x14ac:dyDescent="0.2">
      <c r="E12" s="1" t="s">
        <v>74</v>
      </c>
      <c r="F12" t="str">
        <f t="shared" si="0"/>
        <v>Masa</v>
      </c>
      <c r="H12" s="1"/>
    </row>
    <row r="13" spans="1:12" x14ac:dyDescent="0.2">
      <c r="E13" s="1" t="s">
        <v>79</v>
      </c>
      <c r="F13" t="str">
        <f t="shared" si="0"/>
        <v>Computer</v>
      </c>
    </row>
    <row r="14" spans="1:12" x14ac:dyDescent="0.2">
      <c r="E14" s="1" t="s">
        <v>76</v>
      </c>
      <c r="F14" t="str">
        <f t="shared" si="0"/>
        <v>Kasa</v>
      </c>
    </row>
    <row r="15" spans="1:12" x14ac:dyDescent="0.2">
      <c r="E15" s="1" t="s">
        <v>81</v>
      </c>
      <c r="F15" t="str">
        <f t="shared" si="0"/>
        <v>Klavye</v>
      </c>
    </row>
    <row r="16" spans="1:12" x14ac:dyDescent="0.2">
      <c r="E16" s="1" t="s">
        <v>74</v>
      </c>
      <c r="F16" t="str">
        <f t="shared" si="0"/>
        <v>Masa</v>
      </c>
    </row>
    <row r="17" spans="5:6" x14ac:dyDescent="0.2">
      <c r="E17" s="1" t="s">
        <v>79</v>
      </c>
      <c r="F17" t="str">
        <f t="shared" si="0"/>
        <v>Computer</v>
      </c>
    </row>
    <row r="18" spans="5:6" x14ac:dyDescent="0.2">
      <c r="E18" s="1" t="s">
        <v>76</v>
      </c>
      <c r="F18" t="str">
        <f t="shared" si="0"/>
        <v>Kasa</v>
      </c>
    </row>
    <row r="19" spans="5:6" x14ac:dyDescent="0.2">
      <c r="E19" s="1" t="s">
        <v>79</v>
      </c>
      <c r="F19" t="str">
        <f t="shared" si="0"/>
        <v>Computer</v>
      </c>
    </row>
    <row r="20" spans="5:6" x14ac:dyDescent="0.2">
      <c r="E20" s="1" t="s">
        <v>81</v>
      </c>
      <c r="F20" t="str">
        <f t="shared" si="0"/>
        <v>Klavye</v>
      </c>
    </row>
  </sheetData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zoomScale="115" zoomScaleNormal="115" workbookViewId="0">
      <selection activeCell="B1" sqref="B1:B12"/>
    </sheetView>
  </sheetViews>
  <sheetFormatPr defaultColWidth="9.140625" defaultRowHeight="12.75" x14ac:dyDescent="0.2"/>
  <cols>
    <col min="1" max="1" width="12.5703125" style="1" customWidth="1"/>
    <col min="2" max="2" width="10.5703125" style="1" bestFit="1" customWidth="1"/>
    <col min="3" max="3" width="8.42578125" style="1" customWidth="1"/>
    <col min="4" max="4" width="17.7109375" style="1" customWidth="1"/>
    <col min="5" max="5" width="12" style="1" customWidth="1"/>
    <col min="6" max="6" width="10.85546875" style="1" bestFit="1" customWidth="1"/>
    <col min="7" max="7" width="12.85546875" style="1" bestFit="1" customWidth="1"/>
    <col min="8" max="16384" width="9.140625" style="1"/>
  </cols>
  <sheetData>
    <row r="1" spans="1:7" x14ac:dyDescent="0.2">
      <c r="A1" s="26" t="s">
        <v>65</v>
      </c>
      <c r="B1" s="26" t="s">
        <v>62</v>
      </c>
      <c r="C1" s="26" t="s">
        <v>83</v>
      </c>
      <c r="D1" s="26" t="s">
        <v>63</v>
      </c>
      <c r="E1" s="26" t="s">
        <v>66</v>
      </c>
      <c r="F1" s="26" t="s">
        <v>64</v>
      </c>
      <c r="G1" s="26" t="s">
        <v>84</v>
      </c>
    </row>
    <row r="2" spans="1:7" x14ac:dyDescent="0.2">
      <c r="A2" s="1" t="s">
        <v>73</v>
      </c>
      <c r="B2" s="1" t="s">
        <v>67</v>
      </c>
      <c r="C2" s="1">
        <v>20</v>
      </c>
      <c r="D2" s="1" t="str">
        <f>VLOOKUP(B2,KAYITLAR!A:C,2,0)</f>
        <v>TV</v>
      </c>
      <c r="E2" s="1">
        <f>VLOOKUP(A2,KAYITLAR!E:F,2,0)</f>
        <v>0.08</v>
      </c>
      <c r="F2" s="1">
        <f>VLOOKUP(B2,KAYITLAR!A1:C7,3,0)</f>
        <v>550</v>
      </c>
    </row>
    <row r="3" spans="1:7" x14ac:dyDescent="0.2">
      <c r="A3" s="1" t="s">
        <v>70</v>
      </c>
      <c r="B3" s="1" t="s">
        <v>76</v>
      </c>
      <c r="C3" s="1">
        <v>15</v>
      </c>
      <c r="D3" s="1" t="str">
        <f>VLOOKUP(B3,KAYITLAR!A:C,2,0)</f>
        <v>Kasa</v>
      </c>
      <c r="E3" s="1">
        <f>VLOOKUP(A3,KAYITLAR!E:F,2,0)</f>
        <v>0.14000000000000001</v>
      </c>
      <c r="F3" s="1">
        <f>VLOOKUP(B3,KAYITLAR!A2:C8,3,0)</f>
        <v>700</v>
      </c>
    </row>
    <row r="4" spans="1:7" x14ac:dyDescent="0.2">
      <c r="A4" s="1" t="s">
        <v>69</v>
      </c>
      <c r="B4" s="1" t="s">
        <v>74</v>
      </c>
      <c r="C4" s="1">
        <v>22</v>
      </c>
      <c r="D4" s="1" t="str">
        <f>VLOOKUP(B4,KAYITLAR!A:C,2,0)</f>
        <v>Masa</v>
      </c>
      <c r="E4" s="1">
        <f>VLOOKUP(A4,KAYITLAR!E:F,2,0)</f>
        <v>0.12</v>
      </c>
      <c r="F4" s="1">
        <f>VLOOKUP(B4,KAYITLAR!A3:C9,3,0)</f>
        <v>300</v>
      </c>
    </row>
    <row r="5" spans="1:7" x14ac:dyDescent="0.2">
      <c r="A5" s="1" t="s">
        <v>78</v>
      </c>
      <c r="B5" s="1" t="s">
        <v>79</v>
      </c>
      <c r="C5" s="1">
        <v>15</v>
      </c>
      <c r="D5" s="1" t="str">
        <f>VLOOKUP(B5,KAYITLAR!A:C,2,0)</f>
        <v>Computer</v>
      </c>
      <c r="E5" s="1">
        <f>VLOOKUP(A5,KAYITLAR!E:F,2,0)</f>
        <v>0.11</v>
      </c>
      <c r="F5" s="1">
        <f>VLOOKUP(B5,KAYITLAR!A4:C10,3,0)</f>
        <v>1300</v>
      </c>
    </row>
    <row r="6" spans="1:7" x14ac:dyDescent="0.2">
      <c r="A6" s="1" t="s">
        <v>69</v>
      </c>
      <c r="B6" s="1" t="s">
        <v>76</v>
      </c>
      <c r="C6" s="1">
        <v>9</v>
      </c>
      <c r="D6" s="1" t="str">
        <f>VLOOKUP(B6,KAYITLAR!A:C,2,0)</f>
        <v>Kasa</v>
      </c>
      <c r="E6" s="1">
        <f>VLOOKUP(A6,KAYITLAR!E:F,2,0)</f>
        <v>0.12</v>
      </c>
      <c r="F6" s="1">
        <f>VLOOKUP(B6,KAYITLAR!A5:C11,3,0)</f>
        <v>700</v>
      </c>
    </row>
    <row r="7" spans="1:7" x14ac:dyDescent="0.2">
      <c r="A7" s="1" t="s">
        <v>78</v>
      </c>
      <c r="B7" s="1" t="s">
        <v>81</v>
      </c>
      <c r="C7" s="1">
        <v>22</v>
      </c>
      <c r="D7" s="1" t="str">
        <f>VLOOKUP(B7,KAYITLAR!A:C,2,0)</f>
        <v>Klavye</v>
      </c>
      <c r="E7" s="1">
        <f>VLOOKUP(A7,KAYITLAR!E:F,2,0)</f>
        <v>0.11</v>
      </c>
      <c r="F7" s="1">
        <f>VLOOKUP(B7,KAYITLAR!A6:C12,3,0)</f>
        <v>20</v>
      </c>
    </row>
    <row r="8" spans="1:7" x14ac:dyDescent="0.2">
      <c r="A8" s="1" t="s">
        <v>70</v>
      </c>
      <c r="B8" s="1" t="s">
        <v>74</v>
      </c>
      <c r="C8" s="1">
        <v>12</v>
      </c>
      <c r="D8" s="1" t="str">
        <f>VLOOKUP(B8,KAYITLAR!A:C,2,0)</f>
        <v>Masa</v>
      </c>
      <c r="E8" s="1">
        <f>VLOOKUP(A8,KAYITLAR!E:F,2,0)</f>
        <v>0.14000000000000001</v>
      </c>
      <c r="F8" s="1" t="e">
        <f>VLOOKUP(B8,KAYITLAR!A7:C13,3,0)</f>
        <v>#N/A</v>
      </c>
    </row>
    <row r="9" spans="1:7" x14ac:dyDescent="0.2">
      <c r="A9" s="1" t="s">
        <v>73</v>
      </c>
      <c r="B9" s="1" t="s">
        <v>79</v>
      </c>
      <c r="C9" s="1">
        <v>10</v>
      </c>
      <c r="D9" s="1" t="str">
        <f>VLOOKUP(B9,KAYITLAR!A:C,2,0)</f>
        <v>Computer</v>
      </c>
      <c r="E9" s="1">
        <f>VLOOKUP(A9,KAYITLAR!E:F,2,0)</f>
        <v>0.08</v>
      </c>
      <c r="F9" s="1" t="e">
        <f>VLOOKUP(B9,KAYITLAR!A8:C14,3,0)</f>
        <v>#N/A</v>
      </c>
    </row>
    <row r="10" spans="1:7" x14ac:dyDescent="0.2">
      <c r="A10" s="1" t="s">
        <v>70</v>
      </c>
      <c r="B10" s="1" t="s">
        <v>76</v>
      </c>
      <c r="C10" s="1">
        <v>15</v>
      </c>
      <c r="D10" s="1" t="str">
        <f>VLOOKUP(B10,KAYITLAR!A:C,2,0)</f>
        <v>Kasa</v>
      </c>
      <c r="E10" s="1">
        <f>VLOOKUP(A10,KAYITLAR!E:F,2,0)</f>
        <v>0.14000000000000001</v>
      </c>
      <c r="F10" s="1" t="e">
        <f>VLOOKUP(B10,KAYITLAR!A9:C15,3,0)</f>
        <v>#N/A</v>
      </c>
    </row>
    <row r="11" spans="1:7" x14ac:dyDescent="0.2">
      <c r="A11" s="1" t="s">
        <v>69</v>
      </c>
      <c r="B11" s="1" t="s">
        <v>79</v>
      </c>
      <c r="C11" s="1">
        <v>22</v>
      </c>
      <c r="D11" s="1" t="str">
        <f>VLOOKUP(B11,KAYITLAR!A:C,2,0)</f>
        <v>Computer</v>
      </c>
      <c r="E11" s="1">
        <f>VLOOKUP(A11,KAYITLAR!E:F,2,0)</f>
        <v>0.12</v>
      </c>
      <c r="F11" s="1" t="e">
        <f>VLOOKUP(B11,KAYITLAR!A10:C16,3,0)</f>
        <v>#N/A</v>
      </c>
    </row>
    <row r="12" spans="1:7" x14ac:dyDescent="0.2">
      <c r="A12" s="1" t="s">
        <v>78</v>
      </c>
      <c r="B12" s="1" t="s">
        <v>81</v>
      </c>
      <c r="C12" s="1">
        <v>15</v>
      </c>
      <c r="D12" s="1" t="str">
        <f>VLOOKUP(B12,KAYITLAR!A:C,2,0)</f>
        <v>Klavye</v>
      </c>
      <c r="E12" s="1">
        <f>VLOOKUP(A12,KAYITLAR!E:F,2,0)</f>
        <v>0.11</v>
      </c>
      <c r="F12" s="1" t="e">
        <f>VLOOKUP(B12,KAYITLAR!A11:C17,3,0)</f>
        <v>#N/A</v>
      </c>
    </row>
  </sheetData>
  <sheetProtection formatCells="0"/>
  <phoneticPr fontId="3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tabSelected="1" zoomScale="85" zoomScaleNormal="85" workbookViewId="0">
      <selection activeCell="P11" sqref="P11:P16"/>
    </sheetView>
  </sheetViews>
  <sheetFormatPr defaultRowHeight="12.75" x14ac:dyDescent="0.2"/>
  <cols>
    <col min="1" max="1" width="10.28515625" bestFit="1" customWidth="1"/>
    <col min="3" max="3" width="9.140625" customWidth="1"/>
    <col min="4" max="4" width="18" customWidth="1"/>
    <col min="5" max="5" width="16.5703125" customWidth="1"/>
    <col min="6" max="6" width="16.7109375" customWidth="1"/>
    <col min="7" max="7" width="16.85546875" customWidth="1"/>
    <col min="8" max="8" width="12.7109375" customWidth="1"/>
    <col min="9" max="9" width="14" customWidth="1"/>
    <col min="10" max="10" width="13.42578125" bestFit="1" customWidth="1"/>
    <col min="11" max="11" width="13.42578125" customWidth="1"/>
    <col min="12" max="12" width="3.28515625" customWidth="1"/>
    <col min="13" max="13" width="13.42578125" bestFit="1" customWidth="1"/>
    <col min="15" max="15" width="16.28515625" bestFit="1" customWidth="1"/>
    <col min="16" max="16" width="17.85546875" customWidth="1"/>
  </cols>
  <sheetData>
    <row r="1" spans="1:16" x14ac:dyDescent="0.2">
      <c r="A1" s="25" t="s">
        <v>85</v>
      </c>
      <c r="B1" s="25" t="s">
        <v>86</v>
      </c>
      <c r="C1" s="25" t="s">
        <v>87</v>
      </c>
      <c r="D1" s="25" t="s">
        <v>88</v>
      </c>
      <c r="E1" s="25" t="s">
        <v>89</v>
      </c>
      <c r="F1" s="25" t="s">
        <v>90</v>
      </c>
      <c r="G1" s="25" t="s">
        <v>91</v>
      </c>
      <c r="H1" s="25" t="s">
        <v>92</v>
      </c>
      <c r="I1" s="25" t="s">
        <v>93</v>
      </c>
      <c r="J1" s="25" t="s">
        <v>94</v>
      </c>
      <c r="K1" s="25"/>
      <c r="M1" s="25" t="s">
        <v>85</v>
      </c>
      <c r="N1" s="25" t="s">
        <v>95</v>
      </c>
      <c r="O1" s="25" t="s">
        <v>88</v>
      </c>
      <c r="P1" s="25" t="s">
        <v>88</v>
      </c>
    </row>
    <row r="2" spans="1:16" x14ac:dyDescent="0.2">
      <c r="A2">
        <v>16666</v>
      </c>
      <c r="B2" t="s">
        <v>96</v>
      </c>
      <c r="C2" t="s">
        <v>97</v>
      </c>
      <c r="D2" t="str">
        <f>CONCATENATE(B2&amp;" "&amp;C2)</f>
        <v>Mesut Garip</v>
      </c>
      <c r="E2" t="s">
        <v>98</v>
      </c>
      <c r="F2" s="3">
        <v>2161234558</v>
      </c>
      <c r="G2" t="s">
        <v>99</v>
      </c>
      <c r="H2" t="str">
        <f>"M"&amp;A2</f>
        <v>M16666</v>
      </c>
      <c r="I2" s="2">
        <v>31446</v>
      </c>
      <c r="J2" s="2">
        <v>23702</v>
      </c>
      <c r="K2" s="2"/>
      <c r="M2">
        <v>1055</v>
      </c>
      <c r="N2">
        <f>MATCH(M2,A:A,0)</f>
        <v>6</v>
      </c>
      <c r="O2" t="str">
        <f>INDEX(D:D,N2,0)</f>
        <v>Aslı Akkuzu</v>
      </c>
      <c r="P2" t="str">
        <f>INDEX(D:D,MATCH(M2,A:A,0))</f>
        <v>Aslı Akkuzu</v>
      </c>
    </row>
    <row r="3" spans="1:16" x14ac:dyDescent="0.2">
      <c r="A3">
        <v>1012</v>
      </c>
      <c r="B3" t="s">
        <v>100</v>
      </c>
      <c r="C3" t="s">
        <v>101</v>
      </c>
      <c r="D3" t="str">
        <f t="shared" ref="D3:D66" si="0">CONCATENATE(B3&amp;" "&amp;C3)</f>
        <v>Pınar Otçu</v>
      </c>
      <c r="E3" t="s">
        <v>102</v>
      </c>
      <c r="F3" s="3">
        <v>2161234559</v>
      </c>
      <c r="G3" t="s">
        <v>103</v>
      </c>
      <c r="H3" t="str">
        <f t="shared" ref="H3:H66" si="1">"M"&amp;A3</f>
        <v>M1012</v>
      </c>
      <c r="I3" s="2">
        <v>31438</v>
      </c>
      <c r="J3" s="2">
        <v>23713</v>
      </c>
      <c r="K3" s="2"/>
      <c r="M3">
        <v>1068</v>
      </c>
      <c r="N3">
        <f t="shared" ref="N3:N5" si="2">MATCH(M3,A:A,0)</f>
        <v>9</v>
      </c>
      <c r="O3" t="str">
        <f t="shared" ref="O3:O5" si="3">INDEX(D:D,N3,0)</f>
        <v>Işık Makas</v>
      </c>
      <c r="P3" t="str">
        <f t="shared" ref="P3:P5" si="4">INDEX(D:D,MATCH(M3,A:A,0))</f>
        <v>Işık Makas</v>
      </c>
    </row>
    <row r="4" spans="1:16" x14ac:dyDescent="0.2">
      <c r="A4">
        <v>1041</v>
      </c>
      <c r="B4" t="s">
        <v>104</v>
      </c>
      <c r="C4" t="s">
        <v>105</v>
      </c>
      <c r="D4" t="str">
        <f t="shared" si="0"/>
        <v>Tekin Tercan</v>
      </c>
      <c r="E4" t="s">
        <v>106</v>
      </c>
      <c r="F4" s="3">
        <v>2161234560</v>
      </c>
      <c r="G4" t="s">
        <v>107</v>
      </c>
      <c r="H4" t="str">
        <f t="shared" si="1"/>
        <v>M1041</v>
      </c>
      <c r="I4" s="2">
        <v>33710</v>
      </c>
      <c r="J4" s="2">
        <v>23767</v>
      </c>
      <c r="K4" s="2"/>
      <c r="M4">
        <v>1079</v>
      </c>
      <c r="N4">
        <f t="shared" si="2"/>
        <v>13</v>
      </c>
      <c r="O4" t="str">
        <f t="shared" si="3"/>
        <v>Nida Pala</v>
      </c>
      <c r="P4" t="str">
        <f t="shared" si="4"/>
        <v>Nida Pala</v>
      </c>
    </row>
    <row r="5" spans="1:16" x14ac:dyDescent="0.2">
      <c r="A5">
        <v>1054</v>
      </c>
      <c r="B5" t="s">
        <v>108</v>
      </c>
      <c r="C5" t="s">
        <v>109</v>
      </c>
      <c r="D5" t="str">
        <f t="shared" si="0"/>
        <v>Leyla Saatçioğlu</v>
      </c>
      <c r="E5" t="s">
        <v>110</v>
      </c>
      <c r="F5" s="3">
        <v>2161234561</v>
      </c>
      <c r="G5" t="s">
        <v>111</v>
      </c>
      <c r="H5" t="str">
        <f t="shared" si="1"/>
        <v>M1054</v>
      </c>
      <c r="I5" s="2">
        <v>33344</v>
      </c>
      <c r="J5" s="2">
        <v>24693</v>
      </c>
      <c r="K5" s="2"/>
      <c r="M5">
        <v>1153</v>
      </c>
      <c r="N5">
        <f t="shared" si="2"/>
        <v>16</v>
      </c>
      <c r="O5" t="str">
        <f t="shared" si="3"/>
        <v>Nadiye Nalbant</v>
      </c>
      <c r="P5" t="str">
        <f t="shared" si="4"/>
        <v>Nadiye Nalbant</v>
      </c>
    </row>
    <row r="6" spans="1:16" x14ac:dyDescent="0.2">
      <c r="A6">
        <v>1055</v>
      </c>
      <c r="B6" t="s">
        <v>112</v>
      </c>
      <c r="C6" t="s">
        <v>113</v>
      </c>
      <c r="D6" t="str">
        <f t="shared" si="0"/>
        <v>Aslı Akkuzu</v>
      </c>
      <c r="E6" t="s">
        <v>106</v>
      </c>
      <c r="F6" s="3">
        <v>2161234562</v>
      </c>
      <c r="G6" t="s">
        <v>114</v>
      </c>
      <c r="H6" t="str">
        <f t="shared" si="1"/>
        <v>M1055</v>
      </c>
      <c r="I6" s="2">
        <v>33336</v>
      </c>
      <c r="J6" s="2">
        <v>24704</v>
      </c>
      <c r="K6" s="2"/>
    </row>
    <row r="7" spans="1:16" x14ac:dyDescent="0.2">
      <c r="A7">
        <v>1056</v>
      </c>
      <c r="B7" t="s">
        <v>115</v>
      </c>
      <c r="C7" t="s">
        <v>116</v>
      </c>
      <c r="D7" t="str">
        <f t="shared" si="0"/>
        <v>Erdal Geçimsiz</v>
      </c>
      <c r="E7" t="s">
        <v>117</v>
      </c>
      <c r="F7" s="3">
        <v>2161234563</v>
      </c>
      <c r="G7" t="s">
        <v>118</v>
      </c>
      <c r="H7" t="str">
        <f t="shared" si="1"/>
        <v>M1056</v>
      </c>
      <c r="I7" s="2">
        <v>29153</v>
      </c>
      <c r="J7" s="2">
        <v>13751</v>
      </c>
      <c r="K7" s="2"/>
    </row>
    <row r="8" spans="1:16" x14ac:dyDescent="0.2">
      <c r="A8">
        <v>1067</v>
      </c>
      <c r="B8" t="s">
        <v>119</v>
      </c>
      <c r="C8" t="s">
        <v>120</v>
      </c>
      <c r="D8" t="str">
        <f t="shared" si="0"/>
        <v>Faruk Yaylşacı</v>
      </c>
      <c r="E8" t="s">
        <v>121</v>
      </c>
      <c r="F8" s="3">
        <v>2161234564</v>
      </c>
      <c r="G8" t="s">
        <v>111</v>
      </c>
      <c r="H8" t="str">
        <f t="shared" si="1"/>
        <v>M1067</v>
      </c>
      <c r="I8" s="2">
        <v>32040</v>
      </c>
      <c r="J8" s="2">
        <v>22554</v>
      </c>
      <c r="K8" s="2"/>
    </row>
    <row r="9" spans="1:16" x14ac:dyDescent="0.2">
      <c r="A9">
        <v>1068</v>
      </c>
      <c r="B9" t="s">
        <v>122</v>
      </c>
      <c r="C9" t="s">
        <v>123</v>
      </c>
      <c r="D9" t="str">
        <f t="shared" si="0"/>
        <v>Işık Makas</v>
      </c>
      <c r="E9" t="s">
        <v>102</v>
      </c>
      <c r="F9" s="3">
        <v>2161234565</v>
      </c>
      <c r="G9" t="s">
        <v>103</v>
      </c>
      <c r="H9" t="str">
        <f t="shared" si="1"/>
        <v>M1068</v>
      </c>
      <c r="I9" s="2">
        <v>32032</v>
      </c>
      <c r="J9" s="2">
        <v>22565</v>
      </c>
      <c r="K9" s="2"/>
    </row>
    <row r="10" spans="1:16" x14ac:dyDescent="0.2">
      <c r="A10">
        <v>1075</v>
      </c>
      <c r="B10" t="s">
        <v>124</v>
      </c>
      <c r="C10" t="s">
        <v>125</v>
      </c>
      <c r="D10" t="str">
        <f t="shared" si="0"/>
        <v>Jale Kabak</v>
      </c>
      <c r="E10" t="s">
        <v>110</v>
      </c>
      <c r="F10" s="3">
        <v>2161234566</v>
      </c>
      <c r="G10" t="s">
        <v>111</v>
      </c>
      <c r="H10" t="str">
        <f t="shared" si="1"/>
        <v>M1075</v>
      </c>
      <c r="I10" s="2">
        <v>33823</v>
      </c>
      <c r="J10" s="2">
        <v>25443</v>
      </c>
      <c r="K10" s="2"/>
      <c r="M10" s="25" t="s">
        <v>92</v>
      </c>
      <c r="N10" s="25" t="s">
        <v>89</v>
      </c>
      <c r="P10" s="25" t="s">
        <v>89</v>
      </c>
    </row>
    <row r="11" spans="1:16" x14ac:dyDescent="0.2">
      <c r="A11">
        <v>1076</v>
      </c>
      <c r="B11" t="s">
        <v>126</v>
      </c>
      <c r="C11" t="s">
        <v>127</v>
      </c>
      <c r="D11" t="str">
        <f t="shared" si="0"/>
        <v>Sonkar Müderrisoğlu</v>
      </c>
      <c r="E11" t="s">
        <v>128</v>
      </c>
      <c r="F11" s="3">
        <v>2161234567</v>
      </c>
      <c r="G11" t="s">
        <v>103</v>
      </c>
      <c r="H11" t="str">
        <f t="shared" si="1"/>
        <v>M1076</v>
      </c>
      <c r="I11" s="2">
        <v>29066</v>
      </c>
      <c r="J11" s="2">
        <v>14862</v>
      </c>
      <c r="K11" s="2"/>
      <c r="M11" t="s">
        <v>129</v>
      </c>
      <c r="N11">
        <f>MATCH(M11,H:H,0)</f>
        <v>5</v>
      </c>
      <c r="O11" t="str">
        <f>INDEX(E:E,N11,0)</f>
        <v>Tasarım Yrd.</v>
      </c>
      <c r="P11" t="str">
        <f>INDEX(E:E,MATCH(M11,H:H,0))</f>
        <v>Tasarım Yrd.</v>
      </c>
    </row>
    <row r="12" spans="1:16" x14ac:dyDescent="0.2">
      <c r="A12">
        <v>1078</v>
      </c>
      <c r="B12" t="s">
        <v>130</v>
      </c>
      <c r="C12" t="s">
        <v>131</v>
      </c>
      <c r="D12" t="str">
        <f t="shared" si="0"/>
        <v>Zeynel Hebelek</v>
      </c>
      <c r="E12" t="s">
        <v>132</v>
      </c>
      <c r="F12" s="3">
        <v>2161234568</v>
      </c>
      <c r="G12" t="s">
        <v>114</v>
      </c>
      <c r="H12" t="str">
        <f t="shared" si="1"/>
        <v>M1078</v>
      </c>
      <c r="I12" s="2">
        <v>31503</v>
      </c>
      <c r="J12" s="2">
        <v>22971</v>
      </c>
      <c r="K12" s="2"/>
      <c r="M12" t="s">
        <v>133</v>
      </c>
      <c r="N12">
        <f t="shared" ref="N12:N16" si="5">MATCH(M12,H:H,0)</f>
        <v>9</v>
      </c>
      <c r="O12" t="str">
        <f t="shared" ref="O12:O16" si="6">INDEX(E:E,N12,0)</f>
        <v>Makine Mühendisi</v>
      </c>
      <c r="P12" t="str">
        <f t="shared" ref="P12:P16" si="7">INDEX(E:E,MATCH(M12,H:H,0))</f>
        <v>Makine Mühendisi</v>
      </c>
    </row>
    <row r="13" spans="1:16" x14ac:dyDescent="0.2">
      <c r="A13">
        <v>1079</v>
      </c>
      <c r="B13" t="s">
        <v>134</v>
      </c>
      <c r="C13" t="s">
        <v>135</v>
      </c>
      <c r="D13" t="str">
        <f t="shared" si="0"/>
        <v>Nida Pala</v>
      </c>
      <c r="E13" t="s">
        <v>132</v>
      </c>
      <c r="F13" s="3">
        <v>2161234569</v>
      </c>
      <c r="G13" t="s">
        <v>118</v>
      </c>
      <c r="H13" t="str">
        <f t="shared" si="1"/>
        <v>M1079</v>
      </c>
      <c r="I13" s="2">
        <v>31495</v>
      </c>
      <c r="J13" s="2">
        <v>22982</v>
      </c>
      <c r="K13" s="2"/>
      <c r="M13" t="s">
        <v>136</v>
      </c>
      <c r="N13">
        <f t="shared" si="5"/>
        <v>17</v>
      </c>
      <c r="O13" t="str">
        <f t="shared" si="6"/>
        <v>Yazılım Mühendisi</v>
      </c>
      <c r="P13" t="str">
        <f t="shared" si="7"/>
        <v>Yazılım Mühendisi</v>
      </c>
    </row>
    <row r="14" spans="1:16" x14ac:dyDescent="0.2">
      <c r="A14">
        <v>1080</v>
      </c>
      <c r="B14" t="s">
        <v>137</v>
      </c>
      <c r="C14" t="s">
        <v>138</v>
      </c>
      <c r="D14" t="str">
        <f t="shared" si="0"/>
        <v>Fazıl Feslioğlu</v>
      </c>
      <c r="E14" t="s">
        <v>139</v>
      </c>
      <c r="F14" s="3">
        <v>2161234570</v>
      </c>
      <c r="G14" t="s">
        <v>107</v>
      </c>
      <c r="H14" t="str">
        <f t="shared" si="1"/>
        <v>M1080</v>
      </c>
      <c r="I14" s="2">
        <v>32445</v>
      </c>
      <c r="J14" s="2">
        <v>19334</v>
      </c>
      <c r="K14" s="2"/>
      <c r="M14" t="s">
        <v>140</v>
      </c>
      <c r="N14">
        <f t="shared" si="5"/>
        <v>20</v>
      </c>
      <c r="O14" t="str">
        <f t="shared" si="6"/>
        <v>Yazılım Mühendisi</v>
      </c>
      <c r="P14" t="str">
        <f t="shared" si="7"/>
        <v>Yazılım Mühendisi</v>
      </c>
    </row>
    <row r="15" spans="1:16" x14ac:dyDescent="0.2">
      <c r="A15">
        <v>1152</v>
      </c>
      <c r="B15" t="s">
        <v>141</v>
      </c>
      <c r="C15" t="s">
        <v>142</v>
      </c>
      <c r="D15" t="str">
        <f t="shared" si="0"/>
        <v>Uluç Hendek</v>
      </c>
      <c r="E15" t="s">
        <v>98</v>
      </c>
      <c r="F15" s="3">
        <v>2161234571</v>
      </c>
      <c r="G15" t="s">
        <v>99</v>
      </c>
      <c r="H15" t="str">
        <f t="shared" si="1"/>
        <v>M1152</v>
      </c>
      <c r="I15" s="2">
        <v>32894</v>
      </c>
      <c r="J15" s="2">
        <v>24038</v>
      </c>
      <c r="K15" s="2"/>
      <c r="M15" t="s">
        <v>143</v>
      </c>
      <c r="N15">
        <f t="shared" si="5"/>
        <v>22</v>
      </c>
      <c r="O15" t="str">
        <f t="shared" si="6"/>
        <v>Grup Yöneticisi</v>
      </c>
      <c r="P15" t="str">
        <f t="shared" si="7"/>
        <v>Grup Yöneticisi</v>
      </c>
    </row>
    <row r="16" spans="1:16" x14ac:dyDescent="0.2">
      <c r="A16">
        <v>1153</v>
      </c>
      <c r="B16" t="s">
        <v>144</v>
      </c>
      <c r="C16" t="s">
        <v>145</v>
      </c>
      <c r="D16" t="str">
        <f t="shared" si="0"/>
        <v>Nadiye Nalbant</v>
      </c>
      <c r="E16" t="s">
        <v>106</v>
      </c>
      <c r="F16" s="3">
        <v>2161234572</v>
      </c>
      <c r="G16" t="s">
        <v>99</v>
      </c>
      <c r="H16" t="str">
        <f t="shared" si="1"/>
        <v>M1153</v>
      </c>
      <c r="I16" s="2">
        <v>32886</v>
      </c>
      <c r="J16" s="2">
        <v>24049</v>
      </c>
      <c r="K16" s="2"/>
      <c r="M16" t="s">
        <v>146</v>
      </c>
      <c r="N16">
        <f t="shared" si="5"/>
        <v>29</v>
      </c>
      <c r="O16" t="str">
        <f t="shared" si="6"/>
        <v>Muhasebeci</v>
      </c>
      <c r="P16" t="str">
        <f t="shared" si="7"/>
        <v>Muhasebeci</v>
      </c>
    </row>
    <row r="17" spans="1:11" x14ac:dyDescent="0.2">
      <c r="A17">
        <v>1154</v>
      </c>
      <c r="B17" t="s">
        <v>147</v>
      </c>
      <c r="C17" t="s">
        <v>148</v>
      </c>
      <c r="D17" t="str">
        <f t="shared" si="0"/>
        <v>Selçuk Doğulu</v>
      </c>
      <c r="E17" t="s">
        <v>149</v>
      </c>
      <c r="F17" s="3">
        <v>2161234573</v>
      </c>
      <c r="G17" t="s">
        <v>103</v>
      </c>
      <c r="H17" t="str">
        <f t="shared" si="1"/>
        <v>M1154</v>
      </c>
      <c r="I17" s="2">
        <v>31965</v>
      </c>
      <c r="J17" s="2">
        <v>20400</v>
      </c>
      <c r="K17" s="2"/>
    </row>
    <row r="18" spans="1:11" x14ac:dyDescent="0.2">
      <c r="A18">
        <v>1167</v>
      </c>
      <c r="B18" t="s">
        <v>150</v>
      </c>
      <c r="C18" t="s">
        <v>151</v>
      </c>
      <c r="D18" t="str">
        <f t="shared" si="0"/>
        <v>Orkun Bağcı</v>
      </c>
      <c r="E18" t="s">
        <v>152</v>
      </c>
      <c r="F18" s="3">
        <v>2161234574</v>
      </c>
      <c r="G18" t="s">
        <v>114</v>
      </c>
      <c r="H18" t="str">
        <f t="shared" si="1"/>
        <v>M1167</v>
      </c>
      <c r="I18" s="2">
        <v>33346</v>
      </c>
      <c r="J18" s="2">
        <v>25746</v>
      </c>
      <c r="K18" s="2"/>
    </row>
    <row r="19" spans="1:11" x14ac:dyDescent="0.2">
      <c r="A19">
        <v>1168</v>
      </c>
      <c r="B19" t="s">
        <v>153</v>
      </c>
      <c r="C19" t="s">
        <v>37</v>
      </c>
      <c r="D19" t="str">
        <f t="shared" si="0"/>
        <v>Münevver Aydın</v>
      </c>
      <c r="E19" t="s">
        <v>106</v>
      </c>
      <c r="F19" s="3">
        <v>2161234575</v>
      </c>
      <c r="G19" t="s">
        <v>103</v>
      </c>
      <c r="H19" t="str">
        <f t="shared" si="1"/>
        <v>M1168</v>
      </c>
      <c r="I19" s="2">
        <v>33338</v>
      </c>
      <c r="J19" s="2">
        <v>25757</v>
      </c>
      <c r="K19" s="2"/>
    </row>
    <row r="20" spans="1:11" x14ac:dyDescent="0.2">
      <c r="A20">
        <v>1169</v>
      </c>
      <c r="B20" t="s">
        <v>154</v>
      </c>
      <c r="C20" t="s">
        <v>155</v>
      </c>
      <c r="D20" t="str">
        <f t="shared" si="0"/>
        <v>Güvenç Deniz</v>
      </c>
      <c r="E20" t="s">
        <v>149</v>
      </c>
      <c r="F20" s="3">
        <v>2161234576</v>
      </c>
      <c r="G20" t="s">
        <v>103</v>
      </c>
      <c r="H20" t="str">
        <f t="shared" si="1"/>
        <v>M1169</v>
      </c>
      <c r="I20" s="2">
        <v>33890</v>
      </c>
      <c r="J20" s="2">
        <v>25761</v>
      </c>
      <c r="K20" s="2"/>
    </row>
    <row r="21" spans="1:11" x14ac:dyDescent="0.2">
      <c r="A21">
        <v>1284</v>
      </c>
      <c r="B21" t="s">
        <v>156</v>
      </c>
      <c r="C21" t="s">
        <v>157</v>
      </c>
      <c r="D21" t="str">
        <f t="shared" si="0"/>
        <v>Yaşar Barut</v>
      </c>
      <c r="E21" t="s">
        <v>158</v>
      </c>
      <c r="F21" s="3">
        <v>2161234577</v>
      </c>
      <c r="G21" t="s">
        <v>114</v>
      </c>
      <c r="H21" t="str">
        <f t="shared" si="1"/>
        <v>M1284</v>
      </c>
      <c r="I21" s="2">
        <v>31051</v>
      </c>
      <c r="J21" s="2">
        <v>22991</v>
      </c>
      <c r="K21" s="2"/>
    </row>
    <row r="22" spans="1:11" x14ac:dyDescent="0.2">
      <c r="A22">
        <v>1285</v>
      </c>
      <c r="B22" t="s">
        <v>159</v>
      </c>
      <c r="C22" t="s">
        <v>160</v>
      </c>
      <c r="D22" t="str">
        <f t="shared" si="0"/>
        <v>Markirit Temürcü</v>
      </c>
      <c r="E22" t="s">
        <v>161</v>
      </c>
      <c r="F22" s="3">
        <v>2161234578</v>
      </c>
      <c r="G22" t="s">
        <v>114</v>
      </c>
      <c r="H22" t="str">
        <f t="shared" si="1"/>
        <v>M1285</v>
      </c>
      <c r="I22" s="2">
        <v>31043</v>
      </c>
      <c r="J22" s="2">
        <v>23002</v>
      </c>
      <c r="K22" s="2"/>
    </row>
    <row r="23" spans="1:11" x14ac:dyDescent="0.2">
      <c r="A23">
        <v>1290</v>
      </c>
      <c r="B23" t="s">
        <v>162</v>
      </c>
      <c r="C23" t="s">
        <v>163</v>
      </c>
      <c r="D23" t="str">
        <f t="shared" si="0"/>
        <v>Lamel Çörk</v>
      </c>
      <c r="E23" t="s">
        <v>132</v>
      </c>
      <c r="F23" s="3">
        <v>2161234579</v>
      </c>
      <c r="G23" t="s">
        <v>118</v>
      </c>
      <c r="H23" t="str">
        <f t="shared" si="1"/>
        <v>M1290</v>
      </c>
      <c r="I23" s="2">
        <v>31050</v>
      </c>
      <c r="J23" s="2">
        <v>24200</v>
      </c>
      <c r="K23" s="2"/>
    </row>
    <row r="24" spans="1:11" x14ac:dyDescent="0.2">
      <c r="A24">
        <v>1291</v>
      </c>
      <c r="B24" t="s">
        <v>164</v>
      </c>
      <c r="C24" t="s">
        <v>165</v>
      </c>
      <c r="D24" t="str">
        <f t="shared" si="0"/>
        <v>şükran Üleş</v>
      </c>
      <c r="E24" t="s">
        <v>132</v>
      </c>
      <c r="F24" s="3">
        <v>2161234580</v>
      </c>
      <c r="G24" t="s">
        <v>118</v>
      </c>
      <c r="H24" t="str">
        <f t="shared" si="1"/>
        <v>M1291</v>
      </c>
      <c r="I24" s="2">
        <v>31042</v>
      </c>
      <c r="J24" s="2">
        <v>20559</v>
      </c>
      <c r="K24" s="2"/>
    </row>
    <row r="25" spans="1:11" x14ac:dyDescent="0.2">
      <c r="A25">
        <v>1292</v>
      </c>
      <c r="B25" t="s">
        <v>166</v>
      </c>
      <c r="C25" t="s">
        <v>167</v>
      </c>
      <c r="D25" t="str">
        <f t="shared" si="0"/>
        <v>Gürhan şebek</v>
      </c>
      <c r="E25" t="s">
        <v>152</v>
      </c>
      <c r="F25" s="3">
        <v>2161234581</v>
      </c>
      <c r="G25" t="s">
        <v>114</v>
      </c>
      <c r="H25" t="str">
        <f t="shared" si="1"/>
        <v>M1292</v>
      </c>
      <c r="I25" s="2">
        <v>32101</v>
      </c>
      <c r="J25" s="2">
        <v>20563</v>
      </c>
      <c r="K25" s="2"/>
    </row>
    <row r="26" spans="1:11" x14ac:dyDescent="0.2">
      <c r="A26">
        <v>1293</v>
      </c>
      <c r="B26" t="s">
        <v>168</v>
      </c>
      <c r="C26" t="s">
        <v>169</v>
      </c>
      <c r="D26" t="str">
        <f t="shared" si="0"/>
        <v>Toprak Paşa</v>
      </c>
      <c r="E26" t="s">
        <v>170</v>
      </c>
      <c r="F26" s="3">
        <v>2161234582</v>
      </c>
      <c r="G26" t="s">
        <v>103</v>
      </c>
      <c r="H26" t="str">
        <f t="shared" si="1"/>
        <v>M1293</v>
      </c>
      <c r="I26" s="2">
        <v>30939</v>
      </c>
      <c r="J26" s="2">
        <v>19961</v>
      </c>
      <c r="K26" s="2"/>
    </row>
    <row r="27" spans="1:11" x14ac:dyDescent="0.2">
      <c r="A27">
        <v>1294</v>
      </c>
      <c r="B27" t="s">
        <v>171</v>
      </c>
      <c r="C27" t="s">
        <v>172</v>
      </c>
      <c r="D27" t="str">
        <f t="shared" si="0"/>
        <v>Oktay Neşter</v>
      </c>
      <c r="E27" t="s">
        <v>102</v>
      </c>
      <c r="F27" s="3">
        <v>2161234583</v>
      </c>
      <c r="G27" t="s">
        <v>103</v>
      </c>
      <c r="H27" t="str">
        <f t="shared" si="1"/>
        <v>M1294</v>
      </c>
      <c r="I27" s="2">
        <v>30931</v>
      </c>
      <c r="J27" s="2">
        <v>19972</v>
      </c>
      <c r="K27" s="2"/>
    </row>
    <row r="28" spans="1:11" x14ac:dyDescent="0.2">
      <c r="A28">
        <v>1299</v>
      </c>
      <c r="B28" t="s">
        <v>173</v>
      </c>
      <c r="C28" t="s">
        <v>174</v>
      </c>
      <c r="D28" t="str">
        <f t="shared" si="0"/>
        <v>Ömür Saltık</v>
      </c>
      <c r="E28" t="s">
        <v>175</v>
      </c>
      <c r="F28" s="3">
        <v>2161234584</v>
      </c>
      <c r="G28" t="s">
        <v>103</v>
      </c>
      <c r="H28" t="str">
        <f t="shared" si="1"/>
        <v>M1299</v>
      </c>
      <c r="I28" s="2">
        <v>32863</v>
      </c>
      <c r="J28" s="2">
        <v>23998</v>
      </c>
      <c r="K28" s="2"/>
    </row>
    <row r="29" spans="1:11" x14ac:dyDescent="0.2">
      <c r="A29">
        <v>1300</v>
      </c>
      <c r="B29" t="s">
        <v>176</v>
      </c>
      <c r="C29" t="s">
        <v>177</v>
      </c>
      <c r="D29" t="str">
        <f t="shared" si="0"/>
        <v>Cengiz Sım</v>
      </c>
      <c r="E29" t="s">
        <v>178</v>
      </c>
      <c r="F29" s="3">
        <v>2161234585</v>
      </c>
      <c r="G29" t="s">
        <v>99</v>
      </c>
      <c r="H29" t="str">
        <f t="shared" si="1"/>
        <v>M1300</v>
      </c>
      <c r="I29" s="2">
        <v>32855</v>
      </c>
      <c r="J29" s="2">
        <v>24009</v>
      </c>
      <c r="K29" s="2"/>
    </row>
    <row r="30" spans="1:11" x14ac:dyDescent="0.2">
      <c r="A30">
        <v>1301</v>
      </c>
      <c r="B30" t="s">
        <v>179</v>
      </c>
      <c r="C30" t="s">
        <v>180</v>
      </c>
      <c r="D30" s="4" t="str">
        <f t="shared" si="0"/>
        <v>Nazım Sihir</v>
      </c>
      <c r="E30" t="s">
        <v>132</v>
      </c>
      <c r="F30" s="3">
        <v>2161234586</v>
      </c>
      <c r="G30" t="s">
        <v>114</v>
      </c>
      <c r="H30" t="str">
        <f t="shared" si="1"/>
        <v>M1301</v>
      </c>
      <c r="I30" s="2">
        <v>30900</v>
      </c>
      <c r="J30" s="2">
        <v>23918</v>
      </c>
      <c r="K30" s="2"/>
    </row>
    <row r="31" spans="1:11" x14ac:dyDescent="0.2">
      <c r="A31">
        <v>1302</v>
      </c>
      <c r="B31" t="s">
        <v>181</v>
      </c>
      <c r="C31" t="s">
        <v>182</v>
      </c>
      <c r="D31" t="str">
        <f t="shared" si="0"/>
        <v>Ökkeş Bıyık</v>
      </c>
      <c r="E31" t="s">
        <v>183</v>
      </c>
      <c r="F31" s="3">
        <v>2161234587</v>
      </c>
      <c r="G31" t="s">
        <v>103</v>
      </c>
      <c r="H31" t="str">
        <f t="shared" si="1"/>
        <v>M1302</v>
      </c>
      <c r="I31" s="2">
        <v>30892</v>
      </c>
      <c r="J31" s="2">
        <v>20276</v>
      </c>
      <c r="K31" s="2"/>
    </row>
    <row r="32" spans="1:11" x14ac:dyDescent="0.2">
      <c r="A32">
        <v>1303</v>
      </c>
      <c r="B32" t="s">
        <v>184</v>
      </c>
      <c r="C32" t="s">
        <v>185</v>
      </c>
      <c r="D32" s="4" t="str">
        <f t="shared" si="0"/>
        <v>Can Laci</v>
      </c>
      <c r="E32" t="s">
        <v>149</v>
      </c>
      <c r="F32" s="3">
        <v>2161234588</v>
      </c>
      <c r="G32" t="s">
        <v>103</v>
      </c>
      <c r="H32" t="str">
        <f t="shared" si="1"/>
        <v>M1303</v>
      </c>
      <c r="I32" s="2">
        <v>32205</v>
      </c>
      <c r="J32" s="2">
        <v>20280</v>
      </c>
      <c r="K32" s="2"/>
    </row>
    <row r="33" spans="1:11" x14ac:dyDescent="0.2">
      <c r="A33">
        <v>1310</v>
      </c>
      <c r="B33" t="s">
        <v>186</v>
      </c>
      <c r="C33" t="s">
        <v>187</v>
      </c>
      <c r="D33" t="str">
        <f t="shared" si="0"/>
        <v>Erkan Sekte</v>
      </c>
      <c r="E33" t="s">
        <v>170</v>
      </c>
      <c r="F33" s="3">
        <v>2161234589</v>
      </c>
      <c r="G33" t="s">
        <v>103</v>
      </c>
      <c r="H33" t="str">
        <f t="shared" si="1"/>
        <v>M1310</v>
      </c>
      <c r="I33" s="2">
        <v>31689</v>
      </c>
      <c r="J33" s="2">
        <v>23683</v>
      </c>
      <c r="K33" s="2"/>
    </row>
    <row r="34" spans="1:11" x14ac:dyDescent="0.2">
      <c r="A34">
        <v>1311</v>
      </c>
      <c r="B34" t="s">
        <v>188</v>
      </c>
      <c r="C34" t="s">
        <v>189</v>
      </c>
      <c r="D34" t="str">
        <f t="shared" si="0"/>
        <v>Ersen Çullu</v>
      </c>
      <c r="E34" t="s">
        <v>158</v>
      </c>
      <c r="F34" s="3">
        <v>2161234590</v>
      </c>
      <c r="G34" t="s">
        <v>114</v>
      </c>
      <c r="H34" t="str">
        <f t="shared" si="1"/>
        <v>M1311</v>
      </c>
      <c r="I34" s="2">
        <v>31681</v>
      </c>
      <c r="J34" s="2">
        <v>23694</v>
      </c>
      <c r="K34" s="2"/>
    </row>
    <row r="35" spans="1:11" x14ac:dyDescent="0.2">
      <c r="A35">
        <v>1329</v>
      </c>
      <c r="B35" t="s">
        <v>190</v>
      </c>
      <c r="C35" t="s">
        <v>191</v>
      </c>
      <c r="D35" t="str">
        <f t="shared" si="0"/>
        <v>Uğur Ustura</v>
      </c>
      <c r="E35" t="s">
        <v>170</v>
      </c>
      <c r="F35" s="3">
        <v>2161234591</v>
      </c>
      <c r="G35" t="s">
        <v>103</v>
      </c>
      <c r="H35" t="str">
        <f t="shared" si="1"/>
        <v>M1329</v>
      </c>
      <c r="I35" s="2">
        <v>32561</v>
      </c>
      <c r="J35" s="2">
        <v>23503</v>
      </c>
      <c r="K35" s="2"/>
    </row>
    <row r="36" spans="1:11" x14ac:dyDescent="0.2">
      <c r="A36">
        <v>1330</v>
      </c>
      <c r="B36" t="s">
        <v>192</v>
      </c>
      <c r="C36" t="s">
        <v>193</v>
      </c>
      <c r="D36" t="str">
        <f t="shared" si="0"/>
        <v>Mert Sergen</v>
      </c>
      <c r="E36" t="s">
        <v>178</v>
      </c>
      <c r="F36" s="3">
        <v>2161234592</v>
      </c>
      <c r="G36" t="s">
        <v>99</v>
      </c>
      <c r="H36" t="str">
        <f t="shared" si="1"/>
        <v>M1330</v>
      </c>
      <c r="I36" s="2">
        <v>32553</v>
      </c>
      <c r="J36" s="2">
        <v>23514</v>
      </c>
      <c r="K36" s="2"/>
    </row>
    <row r="37" spans="1:11" x14ac:dyDescent="0.2">
      <c r="A37">
        <v>1331</v>
      </c>
      <c r="B37" t="s">
        <v>194</v>
      </c>
      <c r="C37" t="s">
        <v>195</v>
      </c>
      <c r="D37" t="str">
        <f t="shared" si="0"/>
        <v>Ekrem Cambaz</v>
      </c>
      <c r="E37" t="s">
        <v>149</v>
      </c>
      <c r="F37" s="3">
        <v>2161234593</v>
      </c>
      <c r="G37" t="s">
        <v>103</v>
      </c>
      <c r="H37" t="str">
        <f t="shared" si="1"/>
        <v>M1331</v>
      </c>
      <c r="I37" s="2">
        <v>32639</v>
      </c>
      <c r="J37" s="2">
        <v>23518</v>
      </c>
      <c r="K37" s="2"/>
    </row>
    <row r="38" spans="1:11" x14ac:dyDescent="0.2">
      <c r="A38">
        <v>1333</v>
      </c>
      <c r="B38" t="s">
        <v>196</v>
      </c>
      <c r="C38" t="s">
        <v>197</v>
      </c>
      <c r="D38" t="str">
        <f t="shared" si="0"/>
        <v>İhsan Sağlam</v>
      </c>
      <c r="E38" t="s">
        <v>170</v>
      </c>
      <c r="F38" s="3">
        <v>2161234594</v>
      </c>
      <c r="G38" t="s">
        <v>103</v>
      </c>
      <c r="H38" t="str">
        <f t="shared" si="1"/>
        <v>M1333</v>
      </c>
      <c r="I38" s="2">
        <v>32979</v>
      </c>
      <c r="J38" s="2">
        <v>24022</v>
      </c>
      <c r="K38" s="2"/>
    </row>
    <row r="39" spans="1:11" x14ac:dyDescent="0.2">
      <c r="A39">
        <v>1334</v>
      </c>
      <c r="B39" t="s">
        <v>198</v>
      </c>
      <c r="C39" t="s">
        <v>199</v>
      </c>
      <c r="D39" t="str">
        <f t="shared" si="0"/>
        <v>Mikail Kuşkuş</v>
      </c>
      <c r="E39" t="s">
        <v>106</v>
      </c>
      <c r="F39" s="3">
        <v>2161234595</v>
      </c>
      <c r="G39" t="s">
        <v>107</v>
      </c>
      <c r="H39" t="str">
        <f t="shared" si="1"/>
        <v>M1334</v>
      </c>
      <c r="I39" s="2">
        <v>32971</v>
      </c>
      <c r="J39" s="2">
        <v>24033</v>
      </c>
      <c r="K39" s="2"/>
    </row>
    <row r="40" spans="1:11" x14ac:dyDescent="0.2">
      <c r="A40">
        <v>1352</v>
      </c>
      <c r="B40" t="s">
        <v>200</v>
      </c>
      <c r="C40" t="s">
        <v>201</v>
      </c>
      <c r="D40" t="str">
        <f t="shared" si="0"/>
        <v>Hasan Üstün</v>
      </c>
      <c r="E40" t="s">
        <v>175</v>
      </c>
      <c r="F40" s="3">
        <v>2161234596</v>
      </c>
      <c r="G40" t="s">
        <v>103</v>
      </c>
      <c r="H40" t="str">
        <f t="shared" si="1"/>
        <v>M1352</v>
      </c>
      <c r="I40" s="2">
        <v>30212</v>
      </c>
      <c r="J40" s="2">
        <v>21388</v>
      </c>
      <c r="K40" s="2"/>
    </row>
    <row r="41" spans="1:11" x14ac:dyDescent="0.2">
      <c r="A41">
        <v>1353</v>
      </c>
      <c r="B41" t="s">
        <v>202</v>
      </c>
      <c r="C41" t="s">
        <v>203</v>
      </c>
      <c r="D41" t="str">
        <f t="shared" si="0"/>
        <v>Barış Hallaç</v>
      </c>
      <c r="E41" t="s">
        <v>204</v>
      </c>
      <c r="F41" s="3">
        <v>2161234597</v>
      </c>
      <c r="G41" t="s">
        <v>107</v>
      </c>
      <c r="H41" t="str">
        <f t="shared" si="1"/>
        <v>M1353</v>
      </c>
      <c r="I41" s="2">
        <v>30204</v>
      </c>
      <c r="J41" s="2">
        <v>21399</v>
      </c>
      <c r="K41" s="2"/>
    </row>
    <row r="42" spans="1:11" x14ac:dyDescent="0.2">
      <c r="A42">
        <v>1354</v>
      </c>
      <c r="B42" t="s">
        <v>205</v>
      </c>
      <c r="C42" t="s">
        <v>206</v>
      </c>
      <c r="D42" t="str">
        <f t="shared" si="0"/>
        <v>Ohan Bacak</v>
      </c>
      <c r="E42" t="s">
        <v>207</v>
      </c>
      <c r="F42" s="3">
        <v>2161234598</v>
      </c>
      <c r="G42" t="s">
        <v>103</v>
      </c>
      <c r="H42" t="str">
        <f t="shared" si="1"/>
        <v>M1354</v>
      </c>
      <c r="I42" s="2">
        <v>31538</v>
      </c>
      <c r="J42" s="2">
        <v>17751</v>
      </c>
      <c r="K42" s="2"/>
    </row>
    <row r="43" spans="1:11" x14ac:dyDescent="0.2">
      <c r="A43">
        <v>1359</v>
      </c>
      <c r="B43" t="s">
        <v>208</v>
      </c>
      <c r="C43" t="s">
        <v>209</v>
      </c>
      <c r="D43" t="str">
        <f t="shared" si="0"/>
        <v>Tahsin Torna</v>
      </c>
      <c r="E43" t="s">
        <v>158</v>
      </c>
      <c r="F43" s="3">
        <v>2161234599</v>
      </c>
      <c r="G43" t="s">
        <v>114</v>
      </c>
      <c r="H43" t="str">
        <f t="shared" si="1"/>
        <v>M1359</v>
      </c>
      <c r="I43" s="2">
        <v>33094</v>
      </c>
      <c r="J43" s="2">
        <v>22074</v>
      </c>
      <c r="K43" s="2"/>
    </row>
    <row r="44" spans="1:11" x14ac:dyDescent="0.2">
      <c r="A44">
        <v>1360</v>
      </c>
      <c r="B44" t="s">
        <v>210</v>
      </c>
      <c r="C44" t="s">
        <v>211</v>
      </c>
      <c r="D44" t="str">
        <f t="shared" si="0"/>
        <v>Çiğdem Ramazan</v>
      </c>
      <c r="E44" t="s">
        <v>106</v>
      </c>
      <c r="F44" s="3">
        <v>2161234600</v>
      </c>
      <c r="G44" t="s">
        <v>103</v>
      </c>
      <c r="H44" t="str">
        <f t="shared" si="1"/>
        <v>M1360</v>
      </c>
      <c r="I44" s="2">
        <v>32356</v>
      </c>
      <c r="J44" s="2">
        <v>22085</v>
      </c>
      <c r="K44" s="2"/>
    </row>
    <row r="45" spans="1:11" x14ac:dyDescent="0.2">
      <c r="A45">
        <v>1361</v>
      </c>
      <c r="B45" t="s">
        <v>212</v>
      </c>
      <c r="C45" t="s">
        <v>213</v>
      </c>
      <c r="D45" t="str">
        <f t="shared" si="0"/>
        <v>Turan şekilsiz</v>
      </c>
      <c r="E45" t="s">
        <v>170</v>
      </c>
      <c r="F45" s="3">
        <v>2161234601</v>
      </c>
      <c r="G45" t="s">
        <v>107</v>
      </c>
      <c r="H45" t="str">
        <f t="shared" si="1"/>
        <v>M1361</v>
      </c>
      <c r="I45" s="2">
        <v>32346</v>
      </c>
      <c r="J45" s="2">
        <v>22089</v>
      </c>
      <c r="K45" s="2"/>
    </row>
    <row r="46" spans="1:11" x14ac:dyDescent="0.2">
      <c r="A46">
        <v>1368</v>
      </c>
      <c r="B46" t="s">
        <v>141</v>
      </c>
      <c r="C46" t="s">
        <v>214</v>
      </c>
      <c r="D46" t="str">
        <f t="shared" si="0"/>
        <v>Uluç ınal</v>
      </c>
      <c r="E46" t="s">
        <v>132</v>
      </c>
      <c r="F46" s="3">
        <v>2161234602</v>
      </c>
      <c r="G46" t="s">
        <v>118</v>
      </c>
      <c r="H46" t="str">
        <f t="shared" si="1"/>
        <v>M1368</v>
      </c>
      <c r="I46" s="2">
        <v>30386</v>
      </c>
      <c r="J46" s="2">
        <v>21678</v>
      </c>
      <c r="K46" s="2"/>
    </row>
    <row r="47" spans="1:11" x14ac:dyDescent="0.2">
      <c r="A47">
        <v>1369</v>
      </c>
      <c r="B47" t="s">
        <v>215</v>
      </c>
      <c r="C47" t="s">
        <v>216</v>
      </c>
      <c r="D47" t="str">
        <f t="shared" si="0"/>
        <v>Hümeyra Beker</v>
      </c>
      <c r="E47" t="s">
        <v>204</v>
      </c>
      <c r="F47" s="3">
        <v>2161234603</v>
      </c>
      <c r="G47" t="s">
        <v>107</v>
      </c>
      <c r="H47" t="str">
        <f t="shared" si="1"/>
        <v>M1369</v>
      </c>
      <c r="I47" s="2">
        <v>30378</v>
      </c>
      <c r="J47" s="2">
        <v>21689</v>
      </c>
      <c r="K47" s="2"/>
    </row>
    <row r="48" spans="1:11" x14ac:dyDescent="0.2">
      <c r="A48">
        <v>1370</v>
      </c>
      <c r="B48" t="s">
        <v>217</v>
      </c>
      <c r="C48" t="s">
        <v>218</v>
      </c>
      <c r="D48" t="str">
        <f t="shared" si="0"/>
        <v>Sema Barutçuoğlu</v>
      </c>
      <c r="E48" t="s">
        <v>139</v>
      </c>
      <c r="F48" s="3">
        <v>2161234604</v>
      </c>
      <c r="G48" t="s">
        <v>107</v>
      </c>
      <c r="H48" t="str">
        <f t="shared" si="1"/>
        <v>M1370</v>
      </c>
      <c r="I48" s="2">
        <v>32108</v>
      </c>
      <c r="J48" s="2">
        <v>21693</v>
      </c>
      <c r="K48" s="2"/>
    </row>
    <row r="49" spans="1:11" x14ac:dyDescent="0.2">
      <c r="A49">
        <v>1426</v>
      </c>
      <c r="B49" t="s">
        <v>219</v>
      </c>
      <c r="C49" t="s">
        <v>220</v>
      </c>
      <c r="D49" t="str">
        <f t="shared" si="0"/>
        <v>Cemal Kımıl</v>
      </c>
      <c r="E49" t="s">
        <v>152</v>
      </c>
      <c r="F49" s="3">
        <v>2161234605</v>
      </c>
      <c r="G49" t="s">
        <v>114</v>
      </c>
      <c r="H49" t="str">
        <f t="shared" si="1"/>
        <v>M1426</v>
      </c>
      <c r="I49" s="2">
        <v>28376</v>
      </c>
      <c r="J49" s="2">
        <v>24906</v>
      </c>
      <c r="K49" s="2"/>
    </row>
    <row r="50" spans="1:11" x14ac:dyDescent="0.2">
      <c r="A50">
        <v>1427</v>
      </c>
      <c r="B50" t="s">
        <v>221</v>
      </c>
      <c r="C50" t="s">
        <v>222</v>
      </c>
      <c r="D50" t="str">
        <f t="shared" si="0"/>
        <v>Furkan Pestil</v>
      </c>
      <c r="E50" t="s">
        <v>204</v>
      </c>
      <c r="F50" s="3">
        <v>2161234606</v>
      </c>
      <c r="G50" t="s">
        <v>107</v>
      </c>
      <c r="H50" t="str">
        <f t="shared" si="1"/>
        <v>M1427</v>
      </c>
      <c r="I50" s="2">
        <v>28368</v>
      </c>
      <c r="J50" s="2">
        <v>21263</v>
      </c>
      <c r="K50" s="2"/>
    </row>
    <row r="51" spans="1:11" x14ac:dyDescent="0.2">
      <c r="A51">
        <v>1428</v>
      </c>
      <c r="B51" t="s">
        <v>223</v>
      </c>
      <c r="C51" t="s">
        <v>224</v>
      </c>
      <c r="D51" t="str">
        <f t="shared" si="0"/>
        <v>Cemile Dondon</v>
      </c>
      <c r="E51" t="s">
        <v>207</v>
      </c>
      <c r="F51" s="3">
        <v>2161234607</v>
      </c>
      <c r="G51" t="s">
        <v>103</v>
      </c>
      <c r="H51" t="str">
        <f t="shared" si="1"/>
        <v>M1428</v>
      </c>
      <c r="I51" s="2">
        <v>31728</v>
      </c>
      <c r="J51" s="2">
        <v>21267</v>
      </c>
      <c r="K51" s="2"/>
    </row>
    <row r="52" spans="1:11" x14ac:dyDescent="0.2">
      <c r="A52">
        <v>1509</v>
      </c>
      <c r="B52" t="s">
        <v>225</v>
      </c>
      <c r="C52" t="s">
        <v>226</v>
      </c>
      <c r="D52" t="str">
        <f t="shared" si="0"/>
        <v>Kayın Paspas</v>
      </c>
      <c r="E52" t="s">
        <v>132</v>
      </c>
      <c r="F52" s="3">
        <v>2161234608</v>
      </c>
      <c r="G52" t="s">
        <v>103</v>
      </c>
      <c r="H52" t="str">
        <f t="shared" si="1"/>
        <v>M1509</v>
      </c>
      <c r="I52" s="2">
        <v>31217</v>
      </c>
      <c r="J52" s="2">
        <v>22943</v>
      </c>
      <c r="K52" s="2"/>
    </row>
    <row r="53" spans="1:11" x14ac:dyDescent="0.2">
      <c r="A53">
        <v>1510</v>
      </c>
      <c r="B53" t="s">
        <v>184</v>
      </c>
      <c r="C53" t="s">
        <v>227</v>
      </c>
      <c r="D53" t="str">
        <f t="shared" si="0"/>
        <v>Can Ayvaşık</v>
      </c>
      <c r="E53" t="s">
        <v>102</v>
      </c>
      <c r="F53" s="3">
        <v>2161234609</v>
      </c>
      <c r="G53" t="s">
        <v>103</v>
      </c>
      <c r="H53" t="str">
        <f t="shared" si="1"/>
        <v>M1510</v>
      </c>
      <c r="I53" s="2">
        <v>31209</v>
      </c>
      <c r="J53" s="2">
        <v>22954</v>
      </c>
      <c r="K53" s="2"/>
    </row>
    <row r="54" spans="1:11" x14ac:dyDescent="0.2">
      <c r="A54">
        <v>1516</v>
      </c>
      <c r="B54" t="s">
        <v>228</v>
      </c>
      <c r="C54" t="s">
        <v>229</v>
      </c>
      <c r="D54" t="str">
        <f t="shared" si="0"/>
        <v>Ali Barlak</v>
      </c>
      <c r="E54" t="s">
        <v>98</v>
      </c>
      <c r="F54" s="3">
        <v>2161234610</v>
      </c>
      <c r="G54" t="s">
        <v>99</v>
      </c>
      <c r="H54" t="str">
        <f t="shared" si="1"/>
        <v>M1516</v>
      </c>
      <c r="I54" s="2">
        <v>31112</v>
      </c>
      <c r="J54" s="2">
        <v>23188</v>
      </c>
      <c r="K54" s="2"/>
    </row>
    <row r="55" spans="1:11" x14ac:dyDescent="0.2">
      <c r="A55">
        <v>1517</v>
      </c>
      <c r="B55" t="s">
        <v>230</v>
      </c>
      <c r="C55" t="s">
        <v>231</v>
      </c>
      <c r="D55" t="str">
        <f t="shared" si="0"/>
        <v>Erdem Özgür</v>
      </c>
      <c r="E55" t="s">
        <v>183</v>
      </c>
      <c r="F55" s="3">
        <v>2161234611</v>
      </c>
      <c r="G55" t="s">
        <v>103</v>
      </c>
      <c r="H55" t="str">
        <f t="shared" si="1"/>
        <v>M1517</v>
      </c>
      <c r="I55" s="2">
        <v>31104</v>
      </c>
      <c r="J55" s="2">
        <v>23199</v>
      </c>
      <c r="K55" s="2"/>
    </row>
    <row r="56" spans="1:11" x14ac:dyDescent="0.2">
      <c r="A56">
        <v>1518</v>
      </c>
      <c r="B56" t="s">
        <v>232</v>
      </c>
      <c r="C56" t="s">
        <v>233</v>
      </c>
      <c r="D56" t="str">
        <f t="shared" si="0"/>
        <v>Fatih Setencı</v>
      </c>
      <c r="E56" t="s">
        <v>149</v>
      </c>
      <c r="F56" s="3">
        <v>2161234612</v>
      </c>
      <c r="G56" t="s">
        <v>103</v>
      </c>
      <c r="H56" t="str">
        <f t="shared" si="1"/>
        <v>M1518</v>
      </c>
      <c r="I56" s="2">
        <v>33042</v>
      </c>
      <c r="J56" s="2">
        <v>23203</v>
      </c>
      <c r="K56" s="2"/>
    </row>
    <row r="57" spans="1:11" x14ac:dyDescent="0.2">
      <c r="A57">
        <v>1529</v>
      </c>
      <c r="B57" t="s">
        <v>234</v>
      </c>
      <c r="C57" t="s">
        <v>235</v>
      </c>
      <c r="D57" t="str">
        <f t="shared" si="0"/>
        <v>Barul Keller</v>
      </c>
      <c r="E57" t="s">
        <v>132</v>
      </c>
      <c r="F57" s="3">
        <v>2161234613</v>
      </c>
      <c r="G57" t="s">
        <v>103</v>
      </c>
      <c r="H57" t="str">
        <f t="shared" si="1"/>
        <v>M1529</v>
      </c>
      <c r="I57" s="2">
        <v>31805</v>
      </c>
      <c r="J57" s="2">
        <v>24476</v>
      </c>
      <c r="K57" s="2"/>
    </row>
    <row r="58" spans="1:11" x14ac:dyDescent="0.2">
      <c r="A58">
        <v>1530</v>
      </c>
      <c r="B58" t="s">
        <v>236</v>
      </c>
      <c r="C58" t="s">
        <v>237</v>
      </c>
      <c r="D58" t="str">
        <f t="shared" si="0"/>
        <v>şengül Hatipoğlu</v>
      </c>
      <c r="E58" t="s">
        <v>132</v>
      </c>
      <c r="F58" s="3">
        <v>2161234614</v>
      </c>
      <c r="G58" t="s">
        <v>118</v>
      </c>
      <c r="H58" t="str">
        <f t="shared" si="1"/>
        <v>M1530</v>
      </c>
      <c r="I58" s="2">
        <v>33258</v>
      </c>
      <c r="J58" s="2">
        <v>24487</v>
      </c>
      <c r="K58" s="2"/>
    </row>
    <row r="59" spans="1:11" x14ac:dyDescent="0.2">
      <c r="A59">
        <v>1531</v>
      </c>
      <c r="B59" t="s">
        <v>238</v>
      </c>
      <c r="C59" t="s">
        <v>239</v>
      </c>
      <c r="D59" t="str">
        <f t="shared" si="0"/>
        <v>Umay Kişkiş</v>
      </c>
      <c r="E59" t="s">
        <v>139</v>
      </c>
      <c r="F59" s="3">
        <v>2161234615</v>
      </c>
      <c r="G59" t="s">
        <v>107</v>
      </c>
      <c r="H59" t="str">
        <f t="shared" si="1"/>
        <v>M1531</v>
      </c>
      <c r="I59" s="2">
        <v>31543</v>
      </c>
      <c r="J59" s="2">
        <v>24491</v>
      </c>
      <c r="K59" s="2"/>
    </row>
    <row r="60" spans="1:11" x14ac:dyDescent="0.2">
      <c r="A60">
        <v>1556</v>
      </c>
      <c r="B60" t="s">
        <v>240</v>
      </c>
      <c r="C60" t="s">
        <v>241</v>
      </c>
      <c r="D60" t="str">
        <f t="shared" si="0"/>
        <v>Eray Damgacı</v>
      </c>
      <c r="E60" t="s">
        <v>170</v>
      </c>
      <c r="F60" s="3">
        <v>2161234616</v>
      </c>
      <c r="G60" t="s">
        <v>103</v>
      </c>
      <c r="H60" t="str">
        <f t="shared" si="1"/>
        <v>M1556</v>
      </c>
      <c r="I60" s="2">
        <v>29916</v>
      </c>
      <c r="J60" s="2">
        <v>23996</v>
      </c>
      <c r="K60" s="2"/>
    </row>
    <row r="61" spans="1:11" x14ac:dyDescent="0.2">
      <c r="A61">
        <v>1557</v>
      </c>
      <c r="B61" t="s">
        <v>242</v>
      </c>
      <c r="C61" t="s">
        <v>243</v>
      </c>
      <c r="D61" t="str">
        <f t="shared" si="0"/>
        <v>Nevzat Beşir</v>
      </c>
      <c r="E61" t="s">
        <v>132</v>
      </c>
      <c r="F61" s="3">
        <v>2161234617</v>
      </c>
      <c r="G61" t="s">
        <v>118</v>
      </c>
      <c r="H61" t="str">
        <f t="shared" si="1"/>
        <v>M1557</v>
      </c>
      <c r="I61" s="2">
        <v>29908</v>
      </c>
      <c r="J61" s="2">
        <v>24007</v>
      </c>
      <c r="K61" s="2"/>
    </row>
    <row r="62" spans="1:11" x14ac:dyDescent="0.2">
      <c r="A62">
        <v>1558</v>
      </c>
      <c r="B62" t="s">
        <v>244</v>
      </c>
      <c r="C62" t="s">
        <v>245</v>
      </c>
      <c r="D62" t="str">
        <f t="shared" si="0"/>
        <v>Hakan Sefer</v>
      </c>
      <c r="E62" t="s">
        <v>158</v>
      </c>
      <c r="F62" s="3">
        <v>2161234618</v>
      </c>
      <c r="G62" t="s">
        <v>114</v>
      </c>
      <c r="H62" t="str">
        <f t="shared" si="1"/>
        <v>M1558</v>
      </c>
      <c r="I62" s="2">
        <v>30240</v>
      </c>
      <c r="J62" s="2">
        <v>24011</v>
      </c>
      <c r="K62" s="2"/>
    </row>
    <row r="63" spans="1:11" x14ac:dyDescent="0.2">
      <c r="A63">
        <v>1572</v>
      </c>
      <c r="B63" t="s">
        <v>217</v>
      </c>
      <c r="C63" t="s">
        <v>246</v>
      </c>
      <c r="D63" t="str">
        <f t="shared" si="0"/>
        <v>Sema Tansel</v>
      </c>
      <c r="E63" t="s">
        <v>170</v>
      </c>
      <c r="F63" s="3">
        <v>2161234619</v>
      </c>
      <c r="G63" t="s">
        <v>103</v>
      </c>
      <c r="H63" t="str">
        <f t="shared" si="1"/>
        <v>M1572</v>
      </c>
      <c r="I63" s="2">
        <v>32339</v>
      </c>
      <c r="J63" s="2">
        <v>22056</v>
      </c>
      <c r="K63" s="2"/>
    </row>
    <row r="64" spans="1:11" x14ac:dyDescent="0.2">
      <c r="A64">
        <v>1573</v>
      </c>
      <c r="B64" t="s">
        <v>247</v>
      </c>
      <c r="C64" t="s">
        <v>248</v>
      </c>
      <c r="D64" t="str">
        <f t="shared" si="0"/>
        <v>Canan Repo</v>
      </c>
      <c r="E64" t="s">
        <v>178</v>
      </c>
      <c r="F64" s="3">
        <v>2161234620</v>
      </c>
      <c r="G64" t="s">
        <v>99</v>
      </c>
      <c r="H64" t="str">
        <f t="shared" si="1"/>
        <v>M1573</v>
      </c>
      <c r="I64" s="2">
        <v>32331</v>
      </c>
      <c r="J64" s="2">
        <v>22067</v>
      </c>
      <c r="K64" s="2"/>
    </row>
    <row r="65" spans="1:11" x14ac:dyDescent="0.2">
      <c r="A65">
        <v>1574</v>
      </c>
      <c r="B65" t="s">
        <v>249</v>
      </c>
      <c r="C65" t="s">
        <v>250</v>
      </c>
      <c r="D65" t="str">
        <f t="shared" si="0"/>
        <v>Sinan Sır</v>
      </c>
      <c r="E65" t="s">
        <v>207</v>
      </c>
      <c r="F65" s="3">
        <v>2161234621</v>
      </c>
      <c r="G65" t="s">
        <v>103</v>
      </c>
      <c r="H65" t="str">
        <f t="shared" si="1"/>
        <v>M1574</v>
      </c>
      <c r="I65" s="2">
        <v>31452</v>
      </c>
      <c r="J65" s="2">
        <v>22071</v>
      </c>
      <c r="K65" s="2"/>
    </row>
    <row r="66" spans="1:11" x14ac:dyDescent="0.2">
      <c r="A66">
        <v>1656</v>
      </c>
      <c r="B66" t="s">
        <v>251</v>
      </c>
      <c r="C66" t="s">
        <v>252</v>
      </c>
      <c r="D66" t="str">
        <f t="shared" si="0"/>
        <v>Teo Küpeşte</v>
      </c>
      <c r="E66" t="s">
        <v>132</v>
      </c>
      <c r="F66" s="3">
        <v>2161234622</v>
      </c>
      <c r="G66" t="s">
        <v>114</v>
      </c>
      <c r="H66" t="str">
        <f t="shared" si="1"/>
        <v>M1656</v>
      </c>
      <c r="I66" s="2">
        <v>32125</v>
      </c>
      <c r="J66" s="2">
        <v>23283</v>
      </c>
      <c r="K66" s="2"/>
    </row>
    <row r="67" spans="1:11" x14ac:dyDescent="0.2">
      <c r="A67">
        <v>1657</v>
      </c>
      <c r="B67" t="s">
        <v>253</v>
      </c>
      <c r="C67" t="s">
        <v>254</v>
      </c>
      <c r="D67" t="str">
        <f t="shared" ref="D67:D115" si="8">CONCATENATE(B67&amp;" "&amp;C67)</f>
        <v>Figan Kılıç</v>
      </c>
      <c r="E67" t="s">
        <v>178</v>
      </c>
      <c r="F67" s="3">
        <v>2161234623</v>
      </c>
      <c r="G67" t="s">
        <v>99</v>
      </c>
      <c r="H67" t="str">
        <f t="shared" ref="H67:H115" si="9">"M"&amp;A67</f>
        <v>M1657</v>
      </c>
      <c r="I67" s="2">
        <v>32117</v>
      </c>
      <c r="J67" s="2">
        <v>23294</v>
      </c>
      <c r="K67" s="2"/>
    </row>
    <row r="68" spans="1:11" x14ac:dyDescent="0.2">
      <c r="A68">
        <v>1658</v>
      </c>
      <c r="B68" t="s">
        <v>255</v>
      </c>
      <c r="C68" t="s">
        <v>256</v>
      </c>
      <c r="D68" t="str">
        <f t="shared" si="8"/>
        <v>Dadaş Coşkun</v>
      </c>
      <c r="E68" t="s">
        <v>149</v>
      </c>
      <c r="F68" s="3">
        <v>2161234624</v>
      </c>
      <c r="G68" t="s">
        <v>103</v>
      </c>
      <c r="H68" t="str">
        <f t="shared" si="9"/>
        <v>M1658</v>
      </c>
      <c r="I68" s="2">
        <v>32300</v>
      </c>
      <c r="J68" s="2">
        <v>23298</v>
      </c>
      <c r="K68" s="2"/>
    </row>
    <row r="69" spans="1:11" x14ac:dyDescent="0.2">
      <c r="A69">
        <v>1673</v>
      </c>
      <c r="B69" t="s">
        <v>257</v>
      </c>
      <c r="C69" t="s">
        <v>258</v>
      </c>
      <c r="D69" t="str">
        <f t="shared" si="8"/>
        <v>Demircan Davulcu</v>
      </c>
      <c r="E69" t="s">
        <v>132</v>
      </c>
      <c r="F69" s="3">
        <v>2161234625</v>
      </c>
      <c r="G69" t="s">
        <v>103</v>
      </c>
      <c r="H69" t="str">
        <f t="shared" si="9"/>
        <v>M1673</v>
      </c>
      <c r="I69" s="2">
        <v>32979</v>
      </c>
      <c r="J69" s="2">
        <v>22890</v>
      </c>
      <c r="K69" s="2"/>
    </row>
    <row r="70" spans="1:11" x14ac:dyDescent="0.2">
      <c r="A70">
        <v>1674</v>
      </c>
      <c r="B70" t="s">
        <v>259</v>
      </c>
      <c r="C70" t="s">
        <v>260</v>
      </c>
      <c r="D70" t="str">
        <f t="shared" si="8"/>
        <v>Selim Baykuş</v>
      </c>
      <c r="E70" t="s">
        <v>98</v>
      </c>
      <c r="F70" s="3">
        <v>2161234626</v>
      </c>
      <c r="G70" t="s">
        <v>99</v>
      </c>
      <c r="H70" t="str">
        <f t="shared" si="9"/>
        <v>M1674</v>
      </c>
      <c r="I70" s="2">
        <v>33688</v>
      </c>
      <c r="J70" s="2">
        <v>23393</v>
      </c>
      <c r="K70" s="2"/>
    </row>
    <row r="71" spans="1:11" x14ac:dyDescent="0.2">
      <c r="A71">
        <v>1675</v>
      </c>
      <c r="B71" t="s">
        <v>261</v>
      </c>
      <c r="C71" t="s">
        <v>262</v>
      </c>
      <c r="D71" t="str">
        <f t="shared" si="8"/>
        <v>Metin Macun</v>
      </c>
      <c r="E71" t="s">
        <v>152</v>
      </c>
      <c r="F71" s="3">
        <v>2161234627</v>
      </c>
      <c r="G71" t="s">
        <v>114</v>
      </c>
      <c r="H71" t="str">
        <f t="shared" si="9"/>
        <v>M1675</v>
      </c>
      <c r="I71" s="2">
        <v>29885</v>
      </c>
      <c r="J71" s="2">
        <v>25447</v>
      </c>
      <c r="K71" s="2"/>
    </row>
    <row r="72" spans="1:11" x14ac:dyDescent="0.2">
      <c r="A72">
        <v>1676</v>
      </c>
      <c r="B72" t="s">
        <v>263</v>
      </c>
      <c r="C72" t="s">
        <v>264</v>
      </c>
      <c r="D72" t="str">
        <f t="shared" si="8"/>
        <v>Tolga Tütek</v>
      </c>
      <c r="E72" t="s">
        <v>132</v>
      </c>
      <c r="F72" s="3">
        <v>2161234628</v>
      </c>
      <c r="G72" t="s">
        <v>118</v>
      </c>
      <c r="H72" t="str">
        <f t="shared" si="9"/>
        <v>M1676</v>
      </c>
      <c r="I72" s="2">
        <v>29877</v>
      </c>
      <c r="J72" s="2">
        <v>25458</v>
      </c>
      <c r="K72" s="2"/>
    </row>
    <row r="73" spans="1:11" x14ac:dyDescent="0.2">
      <c r="A73">
        <v>1677</v>
      </c>
      <c r="B73" t="s">
        <v>256</v>
      </c>
      <c r="C73" t="s">
        <v>265</v>
      </c>
      <c r="D73" t="str">
        <f t="shared" si="8"/>
        <v>Coşkun Koni</v>
      </c>
      <c r="E73" t="s">
        <v>139</v>
      </c>
      <c r="F73" s="3">
        <v>2161234629</v>
      </c>
      <c r="G73" t="s">
        <v>107</v>
      </c>
      <c r="H73" t="str">
        <f t="shared" si="9"/>
        <v>M1677</v>
      </c>
      <c r="I73" s="2">
        <v>32087</v>
      </c>
      <c r="J73" s="2">
        <v>25462</v>
      </c>
      <c r="K73" s="2"/>
    </row>
    <row r="74" spans="1:11" x14ac:dyDescent="0.2">
      <c r="A74">
        <v>1695</v>
      </c>
      <c r="B74" t="s">
        <v>266</v>
      </c>
      <c r="C74" t="s">
        <v>267</v>
      </c>
      <c r="D74" t="str">
        <f t="shared" si="8"/>
        <v>Büdü Jabon</v>
      </c>
      <c r="E74" t="s">
        <v>121</v>
      </c>
      <c r="F74" s="3">
        <v>2161234630</v>
      </c>
      <c r="G74" t="s">
        <v>111</v>
      </c>
      <c r="H74" t="str">
        <f t="shared" si="9"/>
        <v>M1695</v>
      </c>
      <c r="I74" s="2">
        <v>30975</v>
      </c>
      <c r="J74" s="2">
        <v>21920</v>
      </c>
      <c r="K74" s="2"/>
    </row>
    <row r="75" spans="1:11" x14ac:dyDescent="0.2">
      <c r="A75">
        <v>1696</v>
      </c>
      <c r="B75" t="s">
        <v>268</v>
      </c>
      <c r="C75" t="s">
        <v>269</v>
      </c>
      <c r="D75" t="str">
        <f t="shared" si="8"/>
        <v>Cemil Astar</v>
      </c>
      <c r="E75" t="s">
        <v>102</v>
      </c>
      <c r="F75" s="3">
        <v>2161234631</v>
      </c>
      <c r="G75" t="s">
        <v>103</v>
      </c>
      <c r="H75" t="str">
        <f t="shared" si="9"/>
        <v>M1696</v>
      </c>
      <c r="I75" s="2">
        <v>30967</v>
      </c>
      <c r="J75" s="2">
        <v>14626</v>
      </c>
      <c r="K75" s="2"/>
    </row>
    <row r="76" spans="1:11" x14ac:dyDescent="0.2">
      <c r="A76">
        <v>1723</v>
      </c>
      <c r="B76" t="s">
        <v>270</v>
      </c>
      <c r="C76" t="s">
        <v>271</v>
      </c>
      <c r="D76" t="str">
        <f t="shared" si="8"/>
        <v>Nesrin Ayık</v>
      </c>
      <c r="E76" t="s">
        <v>170</v>
      </c>
      <c r="F76" s="3">
        <v>2161234632</v>
      </c>
      <c r="G76" t="s">
        <v>103</v>
      </c>
      <c r="H76" t="str">
        <f t="shared" si="9"/>
        <v>M1723</v>
      </c>
      <c r="I76" s="2">
        <v>33091</v>
      </c>
      <c r="J76" s="2">
        <v>23872</v>
      </c>
      <c r="K76" s="2"/>
    </row>
    <row r="77" spans="1:11" x14ac:dyDescent="0.2">
      <c r="A77">
        <v>1724</v>
      </c>
      <c r="B77" t="s">
        <v>272</v>
      </c>
      <c r="C77" t="s">
        <v>273</v>
      </c>
      <c r="D77" t="str">
        <f t="shared" si="8"/>
        <v>Adile Canoğlu</v>
      </c>
      <c r="E77" t="s">
        <v>106</v>
      </c>
      <c r="F77" s="3">
        <v>2161234633</v>
      </c>
      <c r="G77" t="s">
        <v>114</v>
      </c>
      <c r="H77" t="str">
        <f t="shared" si="9"/>
        <v>M1724</v>
      </c>
      <c r="I77" s="2">
        <v>33083</v>
      </c>
      <c r="J77" s="2">
        <v>23883</v>
      </c>
      <c r="K77" s="2"/>
    </row>
    <row r="78" spans="1:11" x14ac:dyDescent="0.2">
      <c r="A78">
        <v>1725</v>
      </c>
      <c r="B78" t="s">
        <v>274</v>
      </c>
      <c r="C78" t="s">
        <v>275</v>
      </c>
      <c r="D78" t="str">
        <f t="shared" si="8"/>
        <v>Yasemin Demirbaş</v>
      </c>
      <c r="E78" t="s">
        <v>161</v>
      </c>
      <c r="F78" s="3">
        <v>2161234634</v>
      </c>
      <c r="G78" t="s">
        <v>114</v>
      </c>
      <c r="H78" t="str">
        <f t="shared" si="9"/>
        <v>M1725</v>
      </c>
      <c r="I78" s="2">
        <v>28523</v>
      </c>
      <c r="J78" s="2">
        <v>19877</v>
      </c>
      <c r="K78" s="2"/>
    </row>
    <row r="79" spans="1:11" x14ac:dyDescent="0.2">
      <c r="A79">
        <v>1758</v>
      </c>
      <c r="B79" t="s">
        <v>276</v>
      </c>
      <c r="C79" t="s">
        <v>277</v>
      </c>
      <c r="D79" t="str">
        <f t="shared" si="8"/>
        <v>Yavuz Başaran</v>
      </c>
      <c r="E79" t="s">
        <v>121</v>
      </c>
      <c r="F79" s="3">
        <v>2161234635</v>
      </c>
      <c r="G79" t="s">
        <v>111</v>
      </c>
      <c r="H79" t="str">
        <f t="shared" si="9"/>
        <v>M1758</v>
      </c>
      <c r="I79" s="2">
        <v>30028</v>
      </c>
      <c r="J79" s="2">
        <v>22942</v>
      </c>
      <c r="K79" s="2"/>
    </row>
    <row r="80" spans="1:11" x14ac:dyDescent="0.2">
      <c r="A80">
        <v>1759</v>
      </c>
      <c r="B80" t="s">
        <v>278</v>
      </c>
      <c r="C80" t="s">
        <v>279</v>
      </c>
      <c r="D80" t="str">
        <f t="shared" si="8"/>
        <v>Kamil Akkenk</v>
      </c>
      <c r="E80" t="s">
        <v>128</v>
      </c>
      <c r="F80" s="3">
        <v>2161234636</v>
      </c>
      <c r="G80" t="s">
        <v>103</v>
      </c>
      <c r="H80" t="str">
        <f t="shared" si="9"/>
        <v>M1759</v>
      </c>
      <c r="I80" s="2">
        <v>30020</v>
      </c>
      <c r="J80" s="2">
        <v>22953</v>
      </c>
      <c r="K80" s="2"/>
    </row>
    <row r="81" spans="1:11" x14ac:dyDescent="0.2">
      <c r="A81">
        <v>1792</v>
      </c>
      <c r="B81" t="s">
        <v>280</v>
      </c>
      <c r="C81" t="s">
        <v>281</v>
      </c>
      <c r="D81" t="str">
        <f t="shared" si="8"/>
        <v>Neşat Bakırcı</v>
      </c>
      <c r="E81" t="s">
        <v>121</v>
      </c>
      <c r="F81" s="3">
        <v>2161234637</v>
      </c>
      <c r="G81" t="s">
        <v>111</v>
      </c>
      <c r="H81" t="str">
        <f t="shared" si="9"/>
        <v>M1792</v>
      </c>
      <c r="I81" s="2">
        <v>33231</v>
      </c>
      <c r="J81" s="2">
        <v>25114</v>
      </c>
      <c r="K81" s="2"/>
    </row>
    <row r="82" spans="1:11" x14ac:dyDescent="0.2">
      <c r="A82">
        <v>1793</v>
      </c>
      <c r="B82" t="s">
        <v>282</v>
      </c>
      <c r="C82" t="s">
        <v>283</v>
      </c>
      <c r="D82" t="str">
        <f t="shared" si="8"/>
        <v>Cahide Ataç</v>
      </c>
      <c r="E82" t="s">
        <v>132</v>
      </c>
      <c r="F82" s="3">
        <v>2161234638</v>
      </c>
      <c r="G82" t="s">
        <v>118</v>
      </c>
      <c r="H82" t="str">
        <f t="shared" si="9"/>
        <v>M1793</v>
      </c>
      <c r="I82" s="2">
        <v>33223</v>
      </c>
      <c r="J82" s="2">
        <v>25125</v>
      </c>
      <c r="K82" s="2"/>
    </row>
    <row r="83" spans="1:11" x14ac:dyDescent="0.2">
      <c r="A83">
        <v>1794</v>
      </c>
      <c r="B83" t="s">
        <v>284</v>
      </c>
      <c r="C83" t="s">
        <v>285</v>
      </c>
      <c r="D83" t="str">
        <f t="shared" si="8"/>
        <v>Süleyman Gulaş</v>
      </c>
      <c r="E83" t="s">
        <v>158</v>
      </c>
      <c r="F83" s="3">
        <v>2161234639</v>
      </c>
      <c r="G83" t="s">
        <v>114</v>
      </c>
      <c r="H83" t="str">
        <f t="shared" si="9"/>
        <v>M1794</v>
      </c>
      <c r="I83" s="2">
        <v>31034</v>
      </c>
      <c r="J83" s="2">
        <v>25129</v>
      </c>
      <c r="K83" s="2"/>
    </row>
    <row r="84" spans="1:11" x14ac:dyDescent="0.2">
      <c r="A84">
        <v>1814</v>
      </c>
      <c r="B84" t="s">
        <v>286</v>
      </c>
      <c r="C84" t="s">
        <v>287</v>
      </c>
      <c r="D84" t="str">
        <f t="shared" si="8"/>
        <v>Nilgün Ataman</v>
      </c>
      <c r="E84" t="s">
        <v>175</v>
      </c>
      <c r="F84" s="3">
        <v>2161234640</v>
      </c>
      <c r="G84" t="s">
        <v>103</v>
      </c>
      <c r="H84" t="str">
        <f t="shared" si="9"/>
        <v>M1814</v>
      </c>
      <c r="I84" s="2">
        <v>32571</v>
      </c>
      <c r="J84" s="2">
        <v>25432</v>
      </c>
      <c r="K84" s="2"/>
    </row>
    <row r="85" spans="1:11" x14ac:dyDescent="0.2">
      <c r="A85">
        <v>1815</v>
      </c>
      <c r="B85" t="s">
        <v>288</v>
      </c>
      <c r="C85" t="s">
        <v>289</v>
      </c>
      <c r="D85" t="str">
        <f t="shared" si="8"/>
        <v>Haluk Damla</v>
      </c>
      <c r="E85" t="s">
        <v>183</v>
      </c>
      <c r="F85" s="3">
        <v>2161234641</v>
      </c>
      <c r="G85" t="s">
        <v>103</v>
      </c>
      <c r="H85" t="str">
        <f t="shared" si="9"/>
        <v>M1815</v>
      </c>
      <c r="I85" s="2">
        <v>29276</v>
      </c>
      <c r="J85" s="2">
        <v>21790</v>
      </c>
      <c r="K85" s="2"/>
    </row>
    <row r="86" spans="1:11" x14ac:dyDescent="0.2">
      <c r="A86">
        <v>1816</v>
      </c>
      <c r="B86" t="s">
        <v>290</v>
      </c>
      <c r="C86" t="s">
        <v>291</v>
      </c>
      <c r="D86" t="str">
        <f t="shared" si="8"/>
        <v>Saim Kayzer</v>
      </c>
      <c r="E86" t="s">
        <v>149</v>
      </c>
      <c r="F86" s="3">
        <v>2161234642</v>
      </c>
      <c r="G86" t="s">
        <v>103</v>
      </c>
      <c r="H86" t="str">
        <f t="shared" si="9"/>
        <v>M1816</v>
      </c>
      <c r="I86" s="2">
        <v>33062</v>
      </c>
      <c r="J86" s="2">
        <v>25447</v>
      </c>
      <c r="K86" s="2"/>
    </row>
    <row r="87" spans="1:11" x14ac:dyDescent="0.2">
      <c r="A87">
        <v>1906</v>
      </c>
      <c r="B87" t="s">
        <v>292</v>
      </c>
      <c r="C87" t="s">
        <v>293</v>
      </c>
      <c r="D87" t="str">
        <f t="shared" si="8"/>
        <v>Nuri Bük</v>
      </c>
      <c r="E87" t="s">
        <v>132</v>
      </c>
      <c r="F87" s="3">
        <v>2161234643</v>
      </c>
      <c r="G87" t="s">
        <v>114</v>
      </c>
      <c r="H87" t="str">
        <f t="shared" si="9"/>
        <v>M1906</v>
      </c>
      <c r="I87" s="2">
        <v>32779</v>
      </c>
      <c r="J87" s="2">
        <v>22161</v>
      </c>
      <c r="K87" s="2"/>
    </row>
    <row r="88" spans="1:11" x14ac:dyDescent="0.2">
      <c r="A88">
        <v>1907</v>
      </c>
      <c r="B88" t="s">
        <v>294</v>
      </c>
      <c r="C88" t="s">
        <v>295</v>
      </c>
      <c r="D88" t="str">
        <f t="shared" si="8"/>
        <v>Ragıp Halıcı</v>
      </c>
      <c r="E88" t="s">
        <v>106</v>
      </c>
      <c r="F88" s="3">
        <v>2161234644</v>
      </c>
      <c r="G88" t="s">
        <v>114</v>
      </c>
      <c r="H88" t="str">
        <f t="shared" si="9"/>
        <v>M1907</v>
      </c>
      <c r="I88" s="2">
        <v>32771</v>
      </c>
      <c r="J88" s="2">
        <v>22172</v>
      </c>
      <c r="K88" s="2"/>
    </row>
    <row r="89" spans="1:11" x14ac:dyDescent="0.2">
      <c r="A89">
        <v>1908</v>
      </c>
      <c r="B89" t="s">
        <v>296</v>
      </c>
      <c r="C89" t="s">
        <v>297</v>
      </c>
      <c r="D89" t="str">
        <f t="shared" si="8"/>
        <v>Melis Zagor</v>
      </c>
      <c r="E89" t="s">
        <v>117</v>
      </c>
      <c r="F89" s="3">
        <v>2161234645</v>
      </c>
      <c r="G89" t="s">
        <v>118</v>
      </c>
      <c r="H89" t="str">
        <f t="shared" si="9"/>
        <v>M1908</v>
      </c>
      <c r="I89" s="2">
        <v>30817</v>
      </c>
      <c r="J89" s="2">
        <v>21449</v>
      </c>
      <c r="K89" s="2"/>
    </row>
    <row r="90" spans="1:11" x14ac:dyDescent="0.2">
      <c r="A90">
        <v>1922</v>
      </c>
      <c r="B90" t="s">
        <v>298</v>
      </c>
      <c r="C90" t="s">
        <v>299</v>
      </c>
      <c r="D90" t="str">
        <f t="shared" si="8"/>
        <v>Yusuf şahan</v>
      </c>
      <c r="E90" t="s">
        <v>175</v>
      </c>
      <c r="F90" s="3">
        <v>2161234646</v>
      </c>
      <c r="G90" t="s">
        <v>103</v>
      </c>
      <c r="H90" t="str">
        <f t="shared" si="9"/>
        <v>M1922</v>
      </c>
      <c r="I90" s="2">
        <v>31751</v>
      </c>
      <c r="J90" s="2">
        <v>22336</v>
      </c>
      <c r="K90" s="2"/>
    </row>
    <row r="91" spans="1:11" x14ac:dyDescent="0.2">
      <c r="A91">
        <v>1923</v>
      </c>
      <c r="B91" t="s">
        <v>300</v>
      </c>
      <c r="C91" t="s">
        <v>301</v>
      </c>
      <c r="D91" t="str">
        <f t="shared" si="8"/>
        <v>şeveket Belen</v>
      </c>
      <c r="E91" t="s">
        <v>158</v>
      </c>
      <c r="F91" s="3">
        <v>2161234647</v>
      </c>
      <c r="G91" t="s">
        <v>114</v>
      </c>
      <c r="H91" t="str">
        <f t="shared" si="9"/>
        <v>M1923</v>
      </c>
      <c r="I91" s="2">
        <v>31743</v>
      </c>
      <c r="J91" s="2">
        <v>22347</v>
      </c>
      <c r="K91" s="2"/>
    </row>
    <row r="92" spans="1:11" x14ac:dyDescent="0.2">
      <c r="A92">
        <v>1931</v>
      </c>
      <c r="B92" t="s">
        <v>302</v>
      </c>
      <c r="C92" t="s">
        <v>303</v>
      </c>
      <c r="D92" t="str">
        <f t="shared" si="8"/>
        <v>Hadiye Kıllı</v>
      </c>
      <c r="E92" t="s">
        <v>178</v>
      </c>
      <c r="F92" s="3">
        <v>2161234648</v>
      </c>
      <c r="G92" t="s">
        <v>99</v>
      </c>
      <c r="H92" t="str">
        <f t="shared" si="9"/>
        <v>M1931</v>
      </c>
      <c r="I92" s="2">
        <v>32679</v>
      </c>
      <c r="J92" s="2">
        <v>25351</v>
      </c>
      <c r="K92" s="2"/>
    </row>
    <row r="93" spans="1:11" x14ac:dyDescent="0.2">
      <c r="A93">
        <v>1932</v>
      </c>
      <c r="B93" t="s">
        <v>304</v>
      </c>
      <c r="C93" t="s">
        <v>305</v>
      </c>
      <c r="D93" t="str">
        <f t="shared" si="8"/>
        <v>Güllü Mumcu</v>
      </c>
      <c r="E93" t="s">
        <v>178</v>
      </c>
      <c r="F93" s="3">
        <v>2161234649</v>
      </c>
      <c r="G93" t="s">
        <v>99</v>
      </c>
      <c r="H93" t="str">
        <f t="shared" si="9"/>
        <v>M1932</v>
      </c>
      <c r="I93" s="2">
        <v>32671</v>
      </c>
      <c r="J93" s="2">
        <v>18057</v>
      </c>
      <c r="K93" s="2"/>
    </row>
    <row r="94" spans="1:11" x14ac:dyDescent="0.2">
      <c r="A94">
        <v>1933</v>
      </c>
      <c r="B94" t="s">
        <v>306</v>
      </c>
      <c r="C94" t="s">
        <v>307</v>
      </c>
      <c r="D94" t="str">
        <f t="shared" si="8"/>
        <v>Ayten Işıksoy</v>
      </c>
      <c r="E94" t="s">
        <v>207</v>
      </c>
      <c r="F94" s="3">
        <v>2161234650</v>
      </c>
      <c r="G94" t="s">
        <v>103</v>
      </c>
      <c r="H94" t="str">
        <f t="shared" si="9"/>
        <v>M1933</v>
      </c>
      <c r="I94" s="2">
        <v>30689</v>
      </c>
      <c r="J94" s="2">
        <v>18061</v>
      </c>
      <c r="K94" s="2"/>
    </row>
    <row r="95" spans="1:11" x14ac:dyDescent="0.2">
      <c r="A95">
        <v>1949</v>
      </c>
      <c r="B95" t="s">
        <v>308</v>
      </c>
      <c r="C95" t="s">
        <v>309</v>
      </c>
      <c r="D95" t="str">
        <f t="shared" si="8"/>
        <v>Necmi Biber</v>
      </c>
      <c r="E95" t="s">
        <v>158</v>
      </c>
      <c r="F95" s="3">
        <v>2161234651</v>
      </c>
      <c r="G95" t="s">
        <v>114</v>
      </c>
      <c r="H95" t="str">
        <f t="shared" si="9"/>
        <v>M1949</v>
      </c>
      <c r="I95" s="2">
        <v>29871</v>
      </c>
      <c r="J95" s="2">
        <v>18685</v>
      </c>
      <c r="K95" s="2"/>
    </row>
    <row r="96" spans="1:11" x14ac:dyDescent="0.2">
      <c r="A96">
        <v>1950</v>
      </c>
      <c r="B96" t="s">
        <v>310</v>
      </c>
      <c r="C96" t="s">
        <v>311</v>
      </c>
      <c r="D96" t="str">
        <f t="shared" si="8"/>
        <v>Bırhan şeker</v>
      </c>
      <c r="E96" t="s">
        <v>161</v>
      </c>
      <c r="F96" s="3">
        <v>2161234652</v>
      </c>
      <c r="G96" t="s">
        <v>114</v>
      </c>
      <c r="H96" t="str">
        <f t="shared" si="9"/>
        <v>M1950</v>
      </c>
      <c r="I96" s="2">
        <v>29863</v>
      </c>
      <c r="J96" s="2">
        <v>18696</v>
      </c>
      <c r="K96" s="2"/>
    </row>
    <row r="97" spans="1:11" x14ac:dyDescent="0.2">
      <c r="A97">
        <v>1960</v>
      </c>
      <c r="B97" t="s">
        <v>312</v>
      </c>
      <c r="C97" t="s">
        <v>313</v>
      </c>
      <c r="D97" t="str">
        <f t="shared" si="8"/>
        <v>Figen Dede</v>
      </c>
      <c r="E97" t="s">
        <v>106</v>
      </c>
      <c r="F97" s="3">
        <v>2161234653</v>
      </c>
      <c r="G97" t="s">
        <v>99</v>
      </c>
      <c r="H97" t="str">
        <f t="shared" si="9"/>
        <v>M1960</v>
      </c>
      <c r="I97" s="2">
        <v>31729</v>
      </c>
      <c r="J97" s="2">
        <v>23823</v>
      </c>
      <c r="K97" s="2"/>
    </row>
    <row r="98" spans="1:11" x14ac:dyDescent="0.2">
      <c r="A98">
        <v>1961</v>
      </c>
      <c r="B98" t="s">
        <v>314</v>
      </c>
      <c r="C98" t="s">
        <v>315</v>
      </c>
      <c r="D98" t="str">
        <f t="shared" si="8"/>
        <v>Aynur Moray</v>
      </c>
      <c r="E98" t="s">
        <v>132</v>
      </c>
      <c r="F98" s="3">
        <v>2161234654</v>
      </c>
      <c r="G98" t="s">
        <v>118</v>
      </c>
      <c r="H98" t="str">
        <f t="shared" si="9"/>
        <v>M1961</v>
      </c>
      <c r="I98" s="2">
        <v>31721</v>
      </c>
      <c r="J98" s="2">
        <v>23834</v>
      </c>
      <c r="K98" s="2"/>
    </row>
    <row r="99" spans="1:11" x14ac:dyDescent="0.2">
      <c r="A99">
        <v>1962</v>
      </c>
      <c r="B99" t="s">
        <v>316</v>
      </c>
      <c r="C99" t="s">
        <v>197</v>
      </c>
      <c r="D99" t="str">
        <f t="shared" si="8"/>
        <v>Mustafa Sağlam</v>
      </c>
      <c r="E99" t="s">
        <v>152</v>
      </c>
      <c r="F99" s="3">
        <v>2161234655</v>
      </c>
      <c r="G99" t="s">
        <v>114</v>
      </c>
      <c r="H99" t="str">
        <f t="shared" si="9"/>
        <v>M1962</v>
      </c>
      <c r="I99" s="2">
        <v>32072</v>
      </c>
      <c r="J99" s="2">
        <v>16533</v>
      </c>
      <c r="K99" s="2"/>
    </row>
    <row r="100" spans="1:11" x14ac:dyDescent="0.2">
      <c r="A100">
        <v>1966</v>
      </c>
      <c r="B100" t="s">
        <v>317</v>
      </c>
      <c r="C100" t="s">
        <v>318</v>
      </c>
      <c r="D100" t="str">
        <f t="shared" si="8"/>
        <v>Necati Conkbayır</v>
      </c>
      <c r="E100" t="s">
        <v>110</v>
      </c>
      <c r="F100" s="3">
        <v>2161234656</v>
      </c>
      <c r="G100" t="s">
        <v>111</v>
      </c>
      <c r="H100" t="str">
        <f t="shared" si="9"/>
        <v>M1966</v>
      </c>
      <c r="I100" s="2">
        <v>33559</v>
      </c>
      <c r="J100" s="2">
        <v>25327</v>
      </c>
      <c r="K100" s="2"/>
    </row>
    <row r="101" spans="1:11" x14ac:dyDescent="0.2">
      <c r="A101">
        <v>1967</v>
      </c>
      <c r="B101" t="s">
        <v>319</v>
      </c>
      <c r="C101" t="s">
        <v>320</v>
      </c>
      <c r="D101" t="str">
        <f t="shared" si="8"/>
        <v>Bikem Camcı</v>
      </c>
      <c r="E101" t="s">
        <v>152</v>
      </c>
      <c r="F101" s="3">
        <v>2161234657</v>
      </c>
      <c r="G101" t="s">
        <v>114</v>
      </c>
      <c r="H101" t="str">
        <f t="shared" si="9"/>
        <v>M1967</v>
      </c>
      <c r="I101" s="2">
        <v>30054</v>
      </c>
      <c r="J101" s="2">
        <v>18888</v>
      </c>
      <c r="K101" s="2"/>
    </row>
    <row r="102" spans="1:11" x14ac:dyDescent="0.2">
      <c r="A102">
        <v>1968</v>
      </c>
      <c r="B102" t="s">
        <v>289</v>
      </c>
      <c r="C102" t="s">
        <v>321</v>
      </c>
      <c r="D102" t="str">
        <f t="shared" si="8"/>
        <v>Damla Mermer</v>
      </c>
      <c r="E102" t="s">
        <v>158</v>
      </c>
      <c r="F102" s="3">
        <v>2161234658</v>
      </c>
      <c r="G102" t="s">
        <v>114</v>
      </c>
      <c r="H102" t="str">
        <f t="shared" si="9"/>
        <v>M1968</v>
      </c>
      <c r="I102" s="2">
        <v>33970</v>
      </c>
      <c r="J102" s="2">
        <v>25342</v>
      </c>
      <c r="K102" s="2"/>
    </row>
    <row r="103" spans="1:11" x14ac:dyDescent="0.2">
      <c r="A103">
        <v>1969</v>
      </c>
      <c r="B103" t="s">
        <v>322</v>
      </c>
      <c r="C103" t="s">
        <v>323</v>
      </c>
      <c r="D103" t="str">
        <f t="shared" si="8"/>
        <v>Firdevs Arıkan</v>
      </c>
      <c r="E103" t="s">
        <v>152</v>
      </c>
      <c r="F103" s="3">
        <v>2161234659</v>
      </c>
      <c r="G103" t="s">
        <v>114</v>
      </c>
      <c r="H103" t="str">
        <f t="shared" si="9"/>
        <v>M1969</v>
      </c>
      <c r="I103" s="2">
        <v>32612</v>
      </c>
      <c r="J103" s="2">
        <v>18903</v>
      </c>
      <c r="K103" s="2"/>
    </row>
    <row r="104" spans="1:11" x14ac:dyDescent="0.2">
      <c r="A104">
        <v>1975</v>
      </c>
      <c r="B104" t="s">
        <v>324</v>
      </c>
      <c r="C104" t="s">
        <v>325</v>
      </c>
      <c r="D104" t="str">
        <f t="shared" si="8"/>
        <v>Okan Delidana</v>
      </c>
      <c r="E104" t="s">
        <v>98</v>
      </c>
      <c r="F104" s="3">
        <v>2161234660</v>
      </c>
      <c r="G104" t="s">
        <v>99</v>
      </c>
      <c r="H104" t="str">
        <f t="shared" si="9"/>
        <v>M1975</v>
      </c>
      <c r="I104" s="2">
        <v>33365</v>
      </c>
      <c r="J104" s="2">
        <v>25839</v>
      </c>
      <c r="K104" s="2"/>
    </row>
    <row r="105" spans="1:11" x14ac:dyDescent="0.2">
      <c r="A105">
        <v>1976</v>
      </c>
      <c r="B105" t="s">
        <v>326</v>
      </c>
      <c r="C105" t="s">
        <v>327</v>
      </c>
      <c r="D105" t="str">
        <f t="shared" si="8"/>
        <v>Hüsnü Namlı</v>
      </c>
      <c r="E105" t="s">
        <v>106</v>
      </c>
      <c r="F105" s="3">
        <v>2161234661</v>
      </c>
      <c r="G105" t="s">
        <v>103</v>
      </c>
      <c r="H105" t="str">
        <f t="shared" si="9"/>
        <v>M1976</v>
      </c>
      <c r="I105" s="2">
        <v>33357</v>
      </c>
      <c r="J105" s="2">
        <v>25850</v>
      </c>
      <c r="K105" s="2"/>
    </row>
    <row r="106" spans="1:11" x14ac:dyDescent="0.2">
      <c r="A106">
        <v>1977</v>
      </c>
      <c r="B106" t="s">
        <v>328</v>
      </c>
      <c r="C106" t="s">
        <v>329</v>
      </c>
      <c r="D106" t="str">
        <f t="shared" si="8"/>
        <v>Bülent Gedik</v>
      </c>
      <c r="E106" t="s">
        <v>149</v>
      </c>
      <c r="F106" s="3">
        <v>2161234662</v>
      </c>
      <c r="G106" t="s">
        <v>103</v>
      </c>
      <c r="H106" t="str">
        <f t="shared" si="9"/>
        <v>M1977</v>
      </c>
      <c r="I106" s="2">
        <v>33490</v>
      </c>
      <c r="J106" s="2">
        <v>22202</v>
      </c>
      <c r="K106" s="2"/>
    </row>
    <row r="107" spans="1:11" x14ac:dyDescent="0.2">
      <c r="A107">
        <v>1978</v>
      </c>
      <c r="B107" t="s">
        <v>330</v>
      </c>
      <c r="C107" t="s">
        <v>331</v>
      </c>
      <c r="D107" t="str">
        <f t="shared" si="8"/>
        <v>Namık Sabuncu</v>
      </c>
      <c r="E107" t="s">
        <v>128</v>
      </c>
      <c r="F107" s="3">
        <v>2161234663</v>
      </c>
      <c r="G107" t="s">
        <v>103</v>
      </c>
      <c r="H107" t="str">
        <f t="shared" si="9"/>
        <v>M1978</v>
      </c>
      <c r="I107" s="2">
        <v>29377</v>
      </c>
      <c r="J107" s="2">
        <v>24741</v>
      </c>
      <c r="K107" s="2"/>
    </row>
    <row r="108" spans="1:11" x14ac:dyDescent="0.2">
      <c r="A108">
        <v>2001</v>
      </c>
      <c r="B108" t="s">
        <v>166</v>
      </c>
      <c r="C108" t="s">
        <v>332</v>
      </c>
      <c r="D108" t="str">
        <f t="shared" si="8"/>
        <v>Gürhan Baydar</v>
      </c>
      <c r="E108" t="s">
        <v>207</v>
      </c>
      <c r="F108" s="3">
        <v>2161234664</v>
      </c>
      <c r="G108" t="s">
        <v>103</v>
      </c>
      <c r="H108" t="str">
        <f t="shared" si="9"/>
        <v>M2001</v>
      </c>
      <c r="I108" s="2">
        <v>31421</v>
      </c>
      <c r="J108" s="2">
        <v>20360</v>
      </c>
      <c r="K108" s="2"/>
    </row>
    <row r="109" spans="1:11" x14ac:dyDescent="0.2">
      <c r="A109">
        <v>2002</v>
      </c>
      <c r="B109" t="s">
        <v>333</v>
      </c>
      <c r="C109" t="s">
        <v>334</v>
      </c>
      <c r="D109" t="str">
        <f t="shared" si="8"/>
        <v>Hılmi Cura</v>
      </c>
      <c r="E109" t="s">
        <v>106</v>
      </c>
      <c r="F109" s="3">
        <v>2161234665</v>
      </c>
      <c r="G109" t="s">
        <v>107</v>
      </c>
      <c r="H109" t="str">
        <f t="shared" si="9"/>
        <v>M2002</v>
      </c>
      <c r="I109" s="2">
        <v>32971</v>
      </c>
      <c r="J109" s="2">
        <v>22901</v>
      </c>
      <c r="K109" s="2"/>
    </row>
    <row r="110" spans="1:11" x14ac:dyDescent="0.2">
      <c r="A110">
        <v>2003</v>
      </c>
      <c r="B110" t="s">
        <v>335</v>
      </c>
      <c r="C110" t="s">
        <v>336</v>
      </c>
      <c r="D110" t="str">
        <f t="shared" si="8"/>
        <v>Aslıhan Mirza</v>
      </c>
      <c r="E110" t="s">
        <v>106</v>
      </c>
      <c r="F110" s="3">
        <v>2161234666</v>
      </c>
      <c r="G110" t="s">
        <v>99</v>
      </c>
      <c r="H110" t="str">
        <f t="shared" si="9"/>
        <v>M2003</v>
      </c>
      <c r="I110" s="2">
        <v>33680</v>
      </c>
      <c r="J110" s="2">
        <v>23404</v>
      </c>
      <c r="K110" s="2"/>
    </row>
    <row r="111" spans="1:11" x14ac:dyDescent="0.2">
      <c r="A111">
        <v>2004</v>
      </c>
      <c r="B111" t="s">
        <v>337</v>
      </c>
      <c r="C111" t="s">
        <v>338</v>
      </c>
      <c r="D111" t="str">
        <f t="shared" si="8"/>
        <v>Fikrıye şen</v>
      </c>
      <c r="E111" t="s">
        <v>158</v>
      </c>
      <c r="F111" s="3">
        <v>2161234667</v>
      </c>
      <c r="G111" t="s">
        <v>114</v>
      </c>
      <c r="H111" t="str">
        <f t="shared" si="9"/>
        <v>M2004</v>
      </c>
      <c r="I111" s="2">
        <v>28531</v>
      </c>
      <c r="J111" s="2">
        <v>19866</v>
      </c>
      <c r="K111" s="2"/>
    </row>
    <row r="112" spans="1:11" x14ac:dyDescent="0.2">
      <c r="A112">
        <v>2005</v>
      </c>
      <c r="B112" t="s">
        <v>339</v>
      </c>
      <c r="C112" t="s">
        <v>340</v>
      </c>
      <c r="D112" t="str">
        <f t="shared" si="8"/>
        <v>Umut Hortum</v>
      </c>
      <c r="E112" t="s">
        <v>117</v>
      </c>
      <c r="F112" s="3">
        <v>2161234668</v>
      </c>
      <c r="G112" t="s">
        <v>118</v>
      </c>
      <c r="H112" t="str">
        <f t="shared" si="9"/>
        <v>M2005</v>
      </c>
      <c r="I112" s="2">
        <v>28533</v>
      </c>
      <c r="J112" s="2">
        <v>20235</v>
      </c>
      <c r="K112" s="2"/>
    </row>
    <row r="113" spans="1:11" x14ac:dyDescent="0.2">
      <c r="A113">
        <v>2006</v>
      </c>
      <c r="B113" t="s">
        <v>200</v>
      </c>
      <c r="C113" t="s">
        <v>341</v>
      </c>
      <c r="D113" s="4" t="str">
        <f t="shared" si="8"/>
        <v>Hasan Atak</v>
      </c>
      <c r="E113" t="s">
        <v>132</v>
      </c>
      <c r="F113" s="3">
        <v>2161234669</v>
      </c>
      <c r="G113" t="s">
        <v>118</v>
      </c>
      <c r="H113" t="str">
        <f t="shared" si="9"/>
        <v>M2006</v>
      </c>
      <c r="I113" s="2">
        <v>33551</v>
      </c>
      <c r="J113" s="2">
        <v>25338</v>
      </c>
      <c r="K113" s="2"/>
    </row>
    <row r="114" spans="1:11" x14ac:dyDescent="0.2">
      <c r="A114">
        <v>2007</v>
      </c>
      <c r="B114" t="s">
        <v>342</v>
      </c>
      <c r="C114" t="s">
        <v>343</v>
      </c>
      <c r="D114" t="str">
        <f t="shared" si="8"/>
        <v>Beytullah Lefke</v>
      </c>
      <c r="E114" t="s">
        <v>344</v>
      </c>
      <c r="F114" s="3">
        <v>2161234670</v>
      </c>
      <c r="G114" t="s">
        <v>118</v>
      </c>
      <c r="H114" t="str">
        <f t="shared" si="9"/>
        <v>M2007</v>
      </c>
      <c r="I114" s="2">
        <v>30046</v>
      </c>
      <c r="J114" s="2">
        <v>18899</v>
      </c>
      <c r="K114" s="2"/>
    </row>
    <row r="115" spans="1:11" x14ac:dyDescent="0.2">
      <c r="A115">
        <v>2008</v>
      </c>
      <c r="B115" t="s">
        <v>345</v>
      </c>
      <c r="C115" t="s">
        <v>346</v>
      </c>
      <c r="D115" t="str">
        <f t="shared" si="8"/>
        <v>Lütfü Meral</v>
      </c>
      <c r="E115" t="s">
        <v>121</v>
      </c>
      <c r="F115" s="3">
        <v>2161234671</v>
      </c>
      <c r="G115" t="s">
        <v>111</v>
      </c>
      <c r="H115" t="str">
        <f t="shared" si="9"/>
        <v>M2008</v>
      </c>
      <c r="I115" s="2">
        <v>29385</v>
      </c>
      <c r="J115" s="2">
        <v>24730</v>
      </c>
      <c r="K115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zoomScale="55" zoomScaleNormal="55" workbookViewId="0">
      <selection activeCell="G2" sqref="G2:G91"/>
    </sheetView>
  </sheetViews>
  <sheetFormatPr defaultRowHeight="12.75" x14ac:dyDescent="0.2"/>
  <cols>
    <col min="1" max="1" width="15.28515625" customWidth="1"/>
    <col min="2" max="2" width="12" customWidth="1"/>
    <col min="3" max="3" width="15.28515625" customWidth="1"/>
    <col min="4" max="4" width="21.7109375" customWidth="1"/>
    <col min="5" max="7" width="15.28515625" customWidth="1"/>
  </cols>
  <sheetData>
    <row r="1" spans="1:7" x14ac:dyDescent="0.2">
      <c r="A1" s="27" t="s">
        <v>85</v>
      </c>
      <c r="B1" s="27" t="s">
        <v>86</v>
      </c>
      <c r="C1" s="27" t="s">
        <v>87</v>
      </c>
      <c r="D1" s="27" t="s">
        <v>89</v>
      </c>
      <c r="E1" s="27" t="s">
        <v>91</v>
      </c>
      <c r="F1" s="27" t="s">
        <v>347</v>
      </c>
      <c r="G1" s="27" t="s">
        <v>94</v>
      </c>
    </row>
    <row r="2" spans="1:7" x14ac:dyDescent="0.2">
      <c r="A2">
        <v>16666</v>
      </c>
      <c r="B2" t="s">
        <v>96</v>
      </c>
      <c r="C2" t="s">
        <v>97</v>
      </c>
      <c r="D2" t="str">
        <f>VLOOKUP(A2,'2019'!A:E,5,0)</f>
        <v>Muhasebe Yrd.</v>
      </c>
      <c r="E2" t="str">
        <f>VLOOKUP(A2,'2019'!A:G,7,0)</f>
        <v>Muhasebe</v>
      </c>
      <c r="F2" s="2">
        <f>VLOOKUP(A2,'2019'!A:I,9,0)</f>
        <v>31446</v>
      </c>
      <c r="G2" s="2">
        <f>VLOOKUP(A2,'2019'!A:J,10,0)</f>
        <v>23702</v>
      </c>
    </row>
    <row r="3" spans="1:7" x14ac:dyDescent="0.2">
      <c r="A3">
        <v>1041</v>
      </c>
      <c r="B3" t="s">
        <v>104</v>
      </c>
      <c r="C3" t="s">
        <v>105</v>
      </c>
      <c r="D3" t="str">
        <f>VLOOKUP(A3,'2019'!A:E,5,0)</f>
        <v>Grup Yönetim Yrd.</v>
      </c>
      <c r="E3" t="str">
        <f>VLOOKUP(A3,'2019'!A:G,7,0)</f>
        <v>Araştırma</v>
      </c>
      <c r="F3" s="2">
        <f>VLOOKUP(A3,'2019'!A:I,9,0)</f>
        <v>33710</v>
      </c>
      <c r="G3" s="2">
        <f>VLOOKUP(A3,'2019'!A:J,10,0)</f>
        <v>23767</v>
      </c>
    </row>
    <row r="4" spans="1:7" x14ac:dyDescent="0.2">
      <c r="A4">
        <v>1055</v>
      </c>
      <c r="B4" t="s">
        <v>112</v>
      </c>
      <c r="C4" t="s">
        <v>113</v>
      </c>
      <c r="D4" t="str">
        <f>VLOOKUP(A4,'2019'!A:E,5,0)</f>
        <v>Grup Yönetim Yrd.</v>
      </c>
      <c r="E4" t="str">
        <f>VLOOKUP(A4,'2019'!A:G,7,0)</f>
        <v>Pazarlama</v>
      </c>
      <c r="F4" s="2">
        <f>VLOOKUP(A4,'2019'!A:I,9,0)</f>
        <v>33336</v>
      </c>
      <c r="G4" s="2">
        <f>VLOOKUP(A4,'2019'!A:J,10,0)</f>
        <v>24704</v>
      </c>
    </row>
    <row r="5" spans="1:7" x14ac:dyDescent="0.2">
      <c r="A5">
        <v>1056</v>
      </c>
      <c r="B5" t="s">
        <v>115</v>
      </c>
      <c r="C5" t="s">
        <v>116</v>
      </c>
      <c r="D5" t="str">
        <f>VLOOKUP(A5,'2019'!A:E,5,0)</f>
        <v>Birim Yön.</v>
      </c>
      <c r="E5" t="str">
        <f>VLOOKUP(A5,'2019'!A:G,7,0)</f>
        <v>Yönetim</v>
      </c>
      <c r="F5" s="2">
        <f>VLOOKUP(A5,'2019'!A:I,9,0)</f>
        <v>29153</v>
      </c>
      <c r="G5" s="2">
        <f>VLOOKUP(A5,'2019'!A:J,10,0)</f>
        <v>13751</v>
      </c>
    </row>
    <row r="6" spans="1:7" x14ac:dyDescent="0.2">
      <c r="A6">
        <v>1067</v>
      </c>
      <c r="B6" t="s">
        <v>119</v>
      </c>
      <c r="C6" t="s">
        <v>120</v>
      </c>
      <c r="D6" t="str">
        <f>VLOOKUP(A6,'2019'!A:E,5,0)</f>
        <v>Tasarım Uzmanı</v>
      </c>
      <c r="E6" t="str">
        <f>VLOOKUP(A6,'2019'!A:G,7,0)</f>
        <v>Sanat</v>
      </c>
      <c r="F6" s="2">
        <f>VLOOKUP(A6,'2019'!A:I,9,0)</f>
        <v>32040</v>
      </c>
      <c r="G6" s="2">
        <f>VLOOKUP(A6,'2019'!A:J,10,0)</f>
        <v>22554</v>
      </c>
    </row>
    <row r="7" spans="1:7" x14ac:dyDescent="0.2">
      <c r="A7">
        <v>1068</v>
      </c>
      <c r="B7" t="s">
        <v>122</v>
      </c>
      <c r="C7" t="s">
        <v>123</v>
      </c>
      <c r="D7" t="str">
        <f>VLOOKUP(A7,'2019'!A:E,5,0)</f>
        <v>Makine Mühendisi</v>
      </c>
      <c r="E7" t="str">
        <f>VLOOKUP(A7,'2019'!A:G,7,0)</f>
        <v>Mühendislik</v>
      </c>
      <c r="F7" s="2">
        <f>VLOOKUP(A7,'2019'!A:I,9,0)</f>
        <v>32032</v>
      </c>
      <c r="G7" s="2">
        <f>VLOOKUP(A7,'2019'!A:J,10,0)</f>
        <v>22565</v>
      </c>
    </row>
    <row r="8" spans="1:7" x14ac:dyDescent="0.2">
      <c r="A8">
        <v>1075</v>
      </c>
      <c r="B8" t="s">
        <v>124</v>
      </c>
      <c r="C8" t="s">
        <v>125</v>
      </c>
      <c r="D8" t="str">
        <f>VLOOKUP(A8,'2019'!A:E,5,0)</f>
        <v>Tasarım Yrd.</v>
      </c>
      <c r="E8" t="str">
        <f>VLOOKUP(A8,'2019'!A:G,7,0)</f>
        <v>Sanat</v>
      </c>
      <c r="F8" s="2">
        <f>VLOOKUP(A8,'2019'!A:I,9,0)</f>
        <v>33823</v>
      </c>
      <c r="G8" s="2">
        <f>VLOOKUP(A8,'2019'!A:J,10,0)</f>
        <v>25443</v>
      </c>
    </row>
    <row r="9" spans="1:7" x14ac:dyDescent="0.2">
      <c r="A9">
        <v>1076</v>
      </c>
      <c r="B9" t="s">
        <v>126</v>
      </c>
      <c r="C9" t="s">
        <v>127</v>
      </c>
      <c r="D9" t="str">
        <f>VLOOKUP(A9,'2019'!A:E,5,0)</f>
        <v>şef Mühendis</v>
      </c>
      <c r="E9" t="str">
        <f>VLOOKUP(A9,'2019'!A:G,7,0)</f>
        <v>Mühendislik</v>
      </c>
      <c r="F9" s="2">
        <f>VLOOKUP(A9,'2019'!A:I,9,0)</f>
        <v>29066</v>
      </c>
      <c r="G9" s="2">
        <f>VLOOKUP(A9,'2019'!A:J,10,0)</f>
        <v>14862</v>
      </c>
    </row>
    <row r="10" spans="1:7" x14ac:dyDescent="0.2">
      <c r="A10">
        <v>1078</v>
      </c>
      <c r="B10" t="s">
        <v>130</v>
      </c>
      <c r="C10" t="s">
        <v>131</v>
      </c>
      <c r="D10" t="str">
        <f>VLOOKUP(A10,'2019'!A:E,5,0)</f>
        <v>Yönetim Yrd.</v>
      </c>
      <c r="E10" t="str">
        <f>VLOOKUP(A10,'2019'!A:G,7,0)</f>
        <v>Pazarlama</v>
      </c>
      <c r="F10" s="2">
        <f>VLOOKUP(A10,'2019'!A:I,9,0)</f>
        <v>31503</v>
      </c>
      <c r="G10" s="2">
        <f>VLOOKUP(A10,'2019'!A:J,10,0)</f>
        <v>22971</v>
      </c>
    </row>
    <row r="11" spans="1:7" x14ac:dyDescent="0.2">
      <c r="A11">
        <v>1080</v>
      </c>
      <c r="B11" t="s">
        <v>137</v>
      </c>
      <c r="C11" t="s">
        <v>138</v>
      </c>
      <c r="D11" t="str">
        <f>VLOOKUP(A11,'2019'!A:E,5,0)</f>
        <v>Araştırma Görevlisi</v>
      </c>
      <c r="E11" t="str">
        <f>VLOOKUP(A11,'2019'!A:G,7,0)</f>
        <v>Araştırma</v>
      </c>
      <c r="F11" s="2">
        <f>VLOOKUP(A11,'2019'!A:I,9,0)</f>
        <v>32445</v>
      </c>
      <c r="G11" s="2">
        <f>VLOOKUP(A11,'2019'!A:J,10,0)</f>
        <v>19334</v>
      </c>
    </row>
    <row r="12" spans="1:7" x14ac:dyDescent="0.2">
      <c r="A12">
        <v>1152</v>
      </c>
      <c r="B12" t="s">
        <v>141</v>
      </c>
      <c r="C12" t="s">
        <v>142</v>
      </c>
      <c r="D12" t="str">
        <f>VLOOKUP(A12,'2019'!A:E,5,0)</f>
        <v>Muhasebe Yrd.</v>
      </c>
      <c r="E12" t="str">
        <f>VLOOKUP(A12,'2019'!A:G,7,0)</f>
        <v>Muhasebe</v>
      </c>
      <c r="F12" s="2">
        <f>VLOOKUP(A12,'2019'!A:I,9,0)</f>
        <v>32894</v>
      </c>
      <c r="G12" s="2">
        <f>VLOOKUP(A12,'2019'!A:J,10,0)</f>
        <v>24038</v>
      </c>
    </row>
    <row r="13" spans="1:7" x14ac:dyDescent="0.2">
      <c r="A13">
        <v>1153</v>
      </c>
      <c r="B13" t="s">
        <v>144</v>
      </c>
      <c r="C13" t="s">
        <v>145</v>
      </c>
      <c r="D13" t="str">
        <f>VLOOKUP(A13,'2019'!A:E,5,0)</f>
        <v>Grup Yönetim Yrd.</v>
      </c>
      <c r="E13" t="str">
        <f>VLOOKUP(A13,'2019'!A:G,7,0)</f>
        <v>Muhasebe</v>
      </c>
      <c r="F13" s="2">
        <f>VLOOKUP(A13,'2019'!A:I,9,0)</f>
        <v>32886</v>
      </c>
      <c r="G13" s="2">
        <f>VLOOKUP(A13,'2019'!A:J,10,0)</f>
        <v>24049</v>
      </c>
    </row>
    <row r="14" spans="1:7" x14ac:dyDescent="0.2">
      <c r="A14">
        <v>1154</v>
      </c>
      <c r="B14" t="s">
        <v>147</v>
      </c>
      <c r="C14" t="s">
        <v>148</v>
      </c>
      <c r="D14" t="str">
        <f>VLOOKUP(A14,'2019'!A:E,5,0)</f>
        <v>Yazılım Mühendisi</v>
      </c>
      <c r="E14" t="str">
        <f>VLOOKUP(A14,'2019'!A:G,7,0)</f>
        <v>Mühendislik</v>
      </c>
      <c r="F14" s="2">
        <f>VLOOKUP(A14,'2019'!A:I,9,0)</f>
        <v>31965</v>
      </c>
      <c r="G14" s="2">
        <f>VLOOKUP(A14,'2019'!A:J,10,0)</f>
        <v>20400</v>
      </c>
    </row>
    <row r="15" spans="1:7" x14ac:dyDescent="0.2">
      <c r="A15">
        <v>1168</v>
      </c>
      <c r="B15" t="s">
        <v>153</v>
      </c>
      <c r="C15" t="s">
        <v>37</v>
      </c>
      <c r="D15" t="str">
        <f>VLOOKUP(A15,'2019'!A:E,5,0)</f>
        <v>Grup Yönetim Yrd.</v>
      </c>
      <c r="E15" t="str">
        <f>VLOOKUP(A15,'2019'!A:G,7,0)</f>
        <v>Mühendislik</v>
      </c>
      <c r="F15" s="2">
        <f>VLOOKUP(A15,'2019'!A:I,9,0)</f>
        <v>33338</v>
      </c>
      <c r="G15" s="2">
        <f>VLOOKUP(A15,'2019'!A:J,10,0)</f>
        <v>25757</v>
      </c>
    </row>
    <row r="16" spans="1:7" x14ac:dyDescent="0.2">
      <c r="A16">
        <v>1169</v>
      </c>
      <c r="B16" t="s">
        <v>154</v>
      </c>
      <c r="C16" t="s">
        <v>155</v>
      </c>
      <c r="D16" t="str">
        <f>VLOOKUP(A16,'2019'!A:E,5,0)</f>
        <v>Yazılım Mühendisi</v>
      </c>
      <c r="E16" t="str">
        <f>VLOOKUP(A16,'2019'!A:G,7,0)</f>
        <v>Mühendislik</v>
      </c>
      <c r="F16" s="2">
        <f>VLOOKUP(A16,'2019'!A:I,9,0)</f>
        <v>33890</v>
      </c>
      <c r="G16" s="2">
        <f>VLOOKUP(A16,'2019'!A:J,10,0)</f>
        <v>25761</v>
      </c>
    </row>
    <row r="17" spans="1:7" x14ac:dyDescent="0.2">
      <c r="A17">
        <v>1284</v>
      </c>
      <c r="B17" t="s">
        <v>156</v>
      </c>
      <c r="C17" t="s">
        <v>157</v>
      </c>
      <c r="D17" t="str">
        <f>VLOOKUP(A17,'2019'!A:E,5,0)</f>
        <v>Ürün Pazarlayıcı</v>
      </c>
      <c r="E17" t="str">
        <f>VLOOKUP(A17,'2019'!A:G,7,0)</f>
        <v>Pazarlama</v>
      </c>
      <c r="F17" s="2">
        <f>VLOOKUP(A17,'2019'!A:I,9,0)</f>
        <v>31051</v>
      </c>
      <c r="G17" s="2">
        <f>VLOOKUP(A17,'2019'!A:J,10,0)</f>
        <v>22991</v>
      </c>
    </row>
    <row r="18" spans="1:7" x14ac:dyDescent="0.2">
      <c r="A18">
        <v>1285</v>
      </c>
      <c r="B18" t="s">
        <v>159</v>
      </c>
      <c r="C18" t="s">
        <v>160</v>
      </c>
      <c r="D18" t="str">
        <f>VLOOKUP(A18,'2019'!A:E,5,0)</f>
        <v>Grup Yöneticisi</v>
      </c>
      <c r="E18" t="str">
        <f>VLOOKUP(A18,'2019'!A:G,7,0)</f>
        <v>Pazarlama</v>
      </c>
      <c r="F18" s="2">
        <f>VLOOKUP(A18,'2019'!A:I,9,0)</f>
        <v>31043</v>
      </c>
      <c r="G18" s="2">
        <f>VLOOKUP(A18,'2019'!A:J,10,0)</f>
        <v>23002</v>
      </c>
    </row>
    <row r="19" spans="1:7" x14ac:dyDescent="0.2">
      <c r="A19">
        <v>1291</v>
      </c>
      <c r="B19" t="s">
        <v>164</v>
      </c>
      <c r="C19" t="s">
        <v>165</v>
      </c>
      <c r="D19" t="str">
        <f>VLOOKUP(A19,'2019'!A:E,5,0)</f>
        <v>Yönetim Yrd.</v>
      </c>
      <c r="E19" t="str">
        <f>VLOOKUP(A19,'2019'!A:G,7,0)</f>
        <v>Yönetim</v>
      </c>
      <c r="F19" s="2">
        <f>VLOOKUP(A19,'2019'!A:I,9,0)</f>
        <v>31042</v>
      </c>
      <c r="G19" s="2">
        <f>VLOOKUP(A19,'2019'!A:J,10,0)</f>
        <v>20559</v>
      </c>
    </row>
    <row r="20" spans="1:7" x14ac:dyDescent="0.2">
      <c r="A20">
        <v>1292</v>
      </c>
      <c r="B20" t="s">
        <v>166</v>
      </c>
      <c r="C20" t="s">
        <v>167</v>
      </c>
      <c r="D20" t="str">
        <f>VLOOKUP(A20,'2019'!A:E,5,0)</f>
        <v>Satış Sorumlusu</v>
      </c>
      <c r="E20" t="str">
        <f>VLOOKUP(A20,'2019'!A:G,7,0)</f>
        <v>Pazarlama</v>
      </c>
      <c r="F20" s="2">
        <f>VLOOKUP(A20,'2019'!A:I,9,0)</f>
        <v>32101</v>
      </c>
      <c r="G20" s="2">
        <f>VLOOKUP(A20,'2019'!A:J,10,0)</f>
        <v>20563</v>
      </c>
    </row>
    <row r="21" spans="1:7" x14ac:dyDescent="0.2">
      <c r="A21">
        <v>1294</v>
      </c>
      <c r="B21" t="s">
        <v>171</v>
      </c>
      <c r="C21" t="s">
        <v>172</v>
      </c>
      <c r="D21" t="str">
        <f>VLOOKUP(A21,'2019'!A:E,5,0)</f>
        <v>Makine Mühendisi</v>
      </c>
      <c r="E21" t="str">
        <f>VLOOKUP(A21,'2019'!A:G,7,0)</f>
        <v>Mühendislik</v>
      </c>
      <c r="F21" s="2">
        <f>VLOOKUP(A21,'2019'!A:I,9,0)</f>
        <v>30931</v>
      </c>
      <c r="G21" s="2">
        <f>VLOOKUP(A21,'2019'!A:J,10,0)</f>
        <v>19972</v>
      </c>
    </row>
    <row r="22" spans="1:7" x14ac:dyDescent="0.2">
      <c r="A22">
        <v>1299</v>
      </c>
      <c r="B22" t="s">
        <v>173</v>
      </c>
      <c r="C22" t="s">
        <v>174</v>
      </c>
      <c r="D22" t="str">
        <f>VLOOKUP(A22,'2019'!A:E,5,0)</f>
        <v>Teknisyen Yrd.</v>
      </c>
      <c r="E22" t="str">
        <f>VLOOKUP(A22,'2019'!A:G,7,0)</f>
        <v>Mühendislik</v>
      </c>
      <c r="F22" s="2">
        <f>VLOOKUP(A22,'2019'!A:I,9,0)</f>
        <v>32863</v>
      </c>
      <c r="G22" s="2">
        <f>VLOOKUP(A22,'2019'!A:J,10,0)</f>
        <v>23998</v>
      </c>
    </row>
    <row r="23" spans="1:7" x14ac:dyDescent="0.2">
      <c r="A23">
        <v>1300</v>
      </c>
      <c r="B23" t="s">
        <v>176</v>
      </c>
      <c r="C23" t="s">
        <v>177</v>
      </c>
      <c r="D23" t="str">
        <f>VLOOKUP(A23,'2019'!A:E,5,0)</f>
        <v>Muhasebeci</v>
      </c>
      <c r="E23" t="str">
        <f>VLOOKUP(A23,'2019'!A:G,7,0)</f>
        <v>Muhasebe</v>
      </c>
      <c r="F23" s="2">
        <f>VLOOKUP(A23,'2019'!A:I,9,0)</f>
        <v>32855</v>
      </c>
      <c r="G23" s="2">
        <f>VLOOKUP(A23,'2019'!A:J,10,0)</f>
        <v>24009</v>
      </c>
    </row>
    <row r="24" spans="1:7" x14ac:dyDescent="0.2">
      <c r="A24">
        <v>1301</v>
      </c>
      <c r="B24" t="s">
        <v>179</v>
      </c>
      <c r="C24" t="s">
        <v>180</v>
      </c>
      <c r="D24" t="str">
        <f>VLOOKUP(A24,'2019'!A:E,5,0)</f>
        <v>Yönetim Yrd.</v>
      </c>
      <c r="E24" t="str">
        <f>VLOOKUP(A24,'2019'!A:G,7,0)</f>
        <v>Pazarlama</v>
      </c>
      <c r="F24" s="2">
        <f>VLOOKUP(A24,'2019'!A:I,9,0)</f>
        <v>30900</v>
      </c>
      <c r="G24" s="2">
        <f>VLOOKUP(A24,'2019'!A:J,10,0)</f>
        <v>23918</v>
      </c>
    </row>
    <row r="25" spans="1:7" x14ac:dyDescent="0.2">
      <c r="A25">
        <v>1303</v>
      </c>
      <c r="B25" t="s">
        <v>184</v>
      </c>
      <c r="C25" t="s">
        <v>185</v>
      </c>
      <c r="D25" t="str">
        <f>VLOOKUP(A25,'2019'!A:E,5,0)</f>
        <v>Yazılım Mühendisi</v>
      </c>
      <c r="E25" t="str">
        <f>VLOOKUP(A25,'2019'!A:G,7,0)</f>
        <v>Mühendislik</v>
      </c>
      <c r="F25" s="2">
        <f>VLOOKUP(A25,'2019'!A:I,9,0)</f>
        <v>32205</v>
      </c>
      <c r="G25" s="2">
        <f>VLOOKUP(A25,'2019'!A:J,10,0)</f>
        <v>20280</v>
      </c>
    </row>
    <row r="26" spans="1:7" x14ac:dyDescent="0.2">
      <c r="A26">
        <v>1310</v>
      </c>
      <c r="B26" t="s">
        <v>186</v>
      </c>
      <c r="C26" t="s">
        <v>187</v>
      </c>
      <c r="D26" t="str">
        <f>VLOOKUP(A26,'2019'!A:E,5,0)</f>
        <v>Teknisyen</v>
      </c>
      <c r="E26" t="str">
        <f>VLOOKUP(A26,'2019'!A:G,7,0)</f>
        <v>Mühendislik</v>
      </c>
      <c r="F26" s="2">
        <f>VLOOKUP(A26,'2019'!A:I,9,0)</f>
        <v>31689</v>
      </c>
      <c r="G26" s="2">
        <f>VLOOKUP(A26,'2019'!A:J,10,0)</f>
        <v>23683</v>
      </c>
    </row>
    <row r="27" spans="1:7" x14ac:dyDescent="0.2">
      <c r="A27">
        <v>1311</v>
      </c>
      <c r="B27" t="s">
        <v>188</v>
      </c>
      <c r="C27" t="s">
        <v>189</v>
      </c>
      <c r="D27" t="str">
        <f>VLOOKUP(A27,'2019'!A:E,5,0)</f>
        <v>Ürün Pazarlayıcı</v>
      </c>
      <c r="E27" t="str">
        <f>VLOOKUP(A27,'2019'!A:G,7,0)</f>
        <v>Pazarlama</v>
      </c>
      <c r="F27" s="2">
        <f>VLOOKUP(A27,'2019'!A:I,9,0)</f>
        <v>31681</v>
      </c>
      <c r="G27" s="2">
        <f>VLOOKUP(A27,'2019'!A:J,10,0)</f>
        <v>23694</v>
      </c>
    </row>
    <row r="28" spans="1:7" x14ac:dyDescent="0.2">
      <c r="A28">
        <v>1329</v>
      </c>
      <c r="B28" t="s">
        <v>190</v>
      </c>
      <c r="C28" t="s">
        <v>191</v>
      </c>
      <c r="D28" t="str">
        <f>VLOOKUP(A28,'2019'!A:E,5,0)</f>
        <v>Teknisyen</v>
      </c>
      <c r="E28" t="str">
        <f>VLOOKUP(A28,'2019'!A:G,7,0)</f>
        <v>Mühendislik</v>
      </c>
      <c r="F28" s="2">
        <f>VLOOKUP(A28,'2019'!A:I,9,0)</f>
        <v>32561</v>
      </c>
      <c r="G28" s="2">
        <f>VLOOKUP(A28,'2019'!A:J,10,0)</f>
        <v>23503</v>
      </c>
    </row>
    <row r="29" spans="1:7" x14ac:dyDescent="0.2">
      <c r="A29">
        <v>1331</v>
      </c>
      <c r="B29" t="s">
        <v>194</v>
      </c>
      <c r="C29" t="s">
        <v>195</v>
      </c>
      <c r="D29" t="str">
        <f>VLOOKUP(A29,'2019'!A:E,5,0)</f>
        <v>Yazılım Mühendisi</v>
      </c>
      <c r="E29" t="str">
        <f>VLOOKUP(A29,'2019'!A:G,7,0)</f>
        <v>Mühendislik</v>
      </c>
      <c r="F29" s="2">
        <f>VLOOKUP(A29,'2019'!A:I,9,0)</f>
        <v>32639</v>
      </c>
      <c r="G29" s="2">
        <f>VLOOKUP(A29,'2019'!A:J,10,0)</f>
        <v>23518</v>
      </c>
    </row>
    <row r="30" spans="1:7" x14ac:dyDescent="0.2">
      <c r="A30">
        <v>1333</v>
      </c>
      <c r="B30" t="s">
        <v>196</v>
      </c>
      <c r="C30" t="s">
        <v>197</v>
      </c>
      <c r="D30" t="str">
        <f>VLOOKUP(A30,'2019'!A:E,5,0)</f>
        <v>Teknisyen</v>
      </c>
      <c r="E30" t="str">
        <f>VLOOKUP(A30,'2019'!A:G,7,0)</f>
        <v>Mühendislik</v>
      </c>
      <c r="F30" s="2">
        <f>VLOOKUP(A30,'2019'!A:I,9,0)</f>
        <v>32979</v>
      </c>
      <c r="G30" s="2">
        <f>VLOOKUP(A30,'2019'!A:J,10,0)</f>
        <v>24022</v>
      </c>
    </row>
    <row r="31" spans="1:7" x14ac:dyDescent="0.2">
      <c r="A31">
        <v>1353</v>
      </c>
      <c r="B31" t="s">
        <v>202</v>
      </c>
      <c r="C31" t="s">
        <v>203</v>
      </c>
      <c r="D31" t="str">
        <f>VLOOKUP(A31,'2019'!A:E,5,0)</f>
        <v>şef Bilim Adamı</v>
      </c>
      <c r="E31" t="str">
        <f>VLOOKUP(A31,'2019'!A:G,7,0)</f>
        <v>Araştırma</v>
      </c>
      <c r="F31" s="2">
        <f>VLOOKUP(A31,'2019'!A:I,9,0)</f>
        <v>30204</v>
      </c>
      <c r="G31" s="2">
        <f>VLOOKUP(A31,'2019'!A:J,10,0)</f>
        <v>21399</v>
      </c>
    </row>
    <row r="32" spans="1:7" x14ac:dyDescent="0.2">
      <c r="A32">
        <v>1354</v>
      </c>
      <c r="B32" t="s">
        <v>205</v>
      </c>
      <c r="C32" t="s">
        <v>206</v>
      </c>
      <c r="D32" t="str">
        <f>VLOOKUP(A32,'2019'!A:E,5,0)</f>
        <v>Baş Mühendis</v>
      </c>
      <c r="E32" t="str">
        <f>VLOOKUP(A32,'2019'!A:G,7,0)</f>
        <v>Mühendislik</v>
      </c>
      <c r="F32" s="2">
        <f>VLOOKUP(A32,'2019'!A:I,9,0)</f>
        <v>31538</v>
      </c>
      <c r="G32" s="2">
        <f>VLOOKUP(A32,'2019'!A:J,10,0)</f>
        <v>17751</v>
      </c>
    </row>
    <row r="33" spans="1:7" x14ac:dyDescent="0.2">
      <c r="A33">
        <v>1359</v>
      </c>
      <c r="B33" t="s">
        <v>208</v>
      </c>
      <c r="C33" t="s">
        <v>209</v>
      </c>
      <c r="D33" t="str">
        <f>VLOOKUP(A33,'2019'!A:E,5,0)</f>
        <v>Ürün Pazarlayıcı</v>
      </c>
      <c r="E33" t="str">
        <f>VLOOKUP(A33,'2019'!A:G,7,0)</f>
        <v>Pazarlama</v>
      </c>
      <c r="F33" s="2">
        <f>VLOOKUP(A33,'2019'!A:I,9,0)</f>
        <v>33094</v>
      </c>
      <c r="G33" s="2">
        <f>VLOOKUP(A33,'2019'!A:J,10,0)</f>
        <v>22074</v>
      </c>
    </row>
    <row r="34" spans="1:7" x14ac:dyDescent="0.2">
      <c r="A34">
        <v>1360</v>
      </c>
      <c r="B34" t="s">
        <v>210</v>
      </c>
      <c r="C34" t="s">
        <v>211</v>
      </c>
      <c r="D34" t="str">
        <f>VLOOKUP(A34,'2019'!A:E,5,0)</f>
        <v>Grup Yönetim Yrd.</v>
      </c>
      <c r="E34" t="str">
        <f>VLOOKUP(A34,'2019'!A:G,7,0)</f>
        <v>Mühendislik</v>
      </c>
      <c r="F34" s="2">
        <f>VLOOKUP(A34,'2019'!A:I,9,0)</f>
        <v>32356</v>
      </c>
      <c r="G34" s="2">
        <f>VLOOKUP(A34,'2019'!A:J,10,0)</f>
        <v>22085</v>
      </c>
    </row>
    <row r="35" spans="1:7" x14ac:dyDescent="0.2">
      <c r="A35">
        <v>1361</v>
      </c>
      <c r="B35" t="s">
        <v>212</v>
      </c>
      <c r="C35" t="s">
        <v>213</v>
      </c>
      <c r="D35" t="str">
        <f>VLOOKUP(A35,'2019'!A:E,5,0)</f>
        <v>Teknisyen</v>
      </c>
      <c r="E35" t="str">
        <f>VLOOKUP(A35,'2019'!A:G,7,0)</f>
        <v>Araştırma</v>
      </c>
      <c r="F35" s="2">
        <f>VLOOKUP(A35,'2019'!A:I,9,0)</f>
        <v>32346</v>
      </c>
      <c r="G35" s="2">
        <f>VLOOKUP(A35,'2019'!A:J,10,0)</f>
        <v>22089</v>
      </c>
    </row>
    <row r="36" spans="1:7" x14ac:dyDescent="0.2">
      <c r="A36">
        <v>1368</v>
      </c>
      <c r="B36" t="s">
        <v>141</v>
      </c>
      <c r="C36" t="s">
        <v>214</v>
      </c>
      <c r="D36" t="str">
        <f>VLOOKUP(A36,'2019'!A:E,5,0)</f>
        <v>Yönetim Yrd.</v>
      </c>
      <c r="E36" t="str">
        <f>VLOOKUP(A36,'2019'!A:G,7,0)</f>
        <v>Yönetim</v>
      </c>
      <c r="F36" s="2">
        <f>VLOOKUP(A36,'2019'!A:I,9,0)</f>
        <v>30386</v>
      </c>
      <c r="G36" s="2">
        <f>VLOOKUP(A36,'2019'!A:J,10,0)</f>
        <v>21678</v>
      </c>
    </row>
    <row r="37" spans="1:7" x14ac:dyDescent="0.2">
      <c r="A37">
        <v>1369</v>
      </c>
      <c r="B37" t="s">
        <v>215</v>
      </c>
      <c r="C37" t="s">
        <v>216</v>
      </c>
      <c r="D37" t="str">
        <f>VLOOKUP(A37,'2019'!A:E,5,0)</f>
        <v>şef Bilim Adamı</v>
      </c>
      <c r="E37" t="str">
        <f>VLOOKUP(A37,'2019'!A:G,7,0)</f>
        <v>Araştırma</v>
      </c>
      <c r="F37" s="2">
        <f>VLOOKUP(A37,'2019'!A:I,9,0)</f>
        <v>30378</v>
      </c>
      <c r="G37" s="2">
        <f>VLOOKUP(A37,'2019'!A:J,10,0)</f>
        <v>21689</v>
      </c>
    </row>
    <row r="38" spans="1:7" x14ac:dyDescent="0.2">
      <c r="A38">
        <v>1370</v>
      </c>
      <c r="B38" t="s">
        <v>217</v>
      </c>
      <c r="C38" t="s">
        <v>218</v>
      </c>
      <c r="D38" t="str">
        <f>VLOOKUP(A38,'2019'!A:E,5,0)</f>
        <v>Araştırma Görevlisi</v>
      </c>
      <c r="E38" t="str">
        <f>VLOOKUP(A38,'2019'!A:G,7,0)</f>
        <v>Araştırma</v>
      </c>
      <c r="F38" s="2">
        <f>VLOOKUP(A38,'2019'!A:I,9,0)</f>
        <v>32108</v>
      </c>
      <c r="G38" s="2">
        <f>VLOOKUP(A38,'2019'!A:J,10,0)</f>
        <v>21693</v>
      </c>
    </row>
    <row r="39" spans="1:7" x14ac:dyDescent="0.2">
      <c r="A39">
        <v>1426</v>
      </c>
      <c r="B39" t="s">
        <v>219</v>
      </c>
      <c r="C39" t="s">
        <v>220</v>
      </c>
      <c r="D39" t="str">
        <f>VLOOKUP(A39,'2019'!A:E,5,0)</f>
        <v>Satış Sorumlusu</v>
      </c>
      <c r="E39" t="str">
        <f>VLOOKUP(A39,'2019'!A:G,7,0)</f>
        <v>Pazarlama</v>
      </c>
      <c r="F39" s="2">
        <f>VLOOKUP(A39,'2019'!A:I,9,0)</f>
        <v>28376</v>
      </c>
      <c r="G39" s="2">
        <f>VLOOKUP(A39,'2019'!A:J,10,0)</f>
        <v>24906</v>
      </c>
    </row>
    <row r="40" spans="1:7" x14ac:dyDescent="0.2">
      <c r="A40">
        <v>1427</v>
      </c>
      <c r="B40" t="s">
        <v>221</v>
      </c>
      <c r="C40" t="s">
        <v>222</v>
      </c>
      <c r="D40" t="str">
        <f>VLOOKUP(A40,'2019'!A:E,5,0)</f>
        <v>şef Bilim Adamı</v>
      </c>
      <c r="E40" t="str">
        <f>VLOOKUP(A40,'2019'!A:G,7,0)</f>
        <v>Araştırma</v>
      </c>
      <c r="F40" s="2">
        <f>VLOOKUP(A40,'2019'!A:I,9,0)</f>
        <v>28368</v>
      </c>
      <c r="G40" s="2">
        <f>VLOOKUP(A40,'2019'!A:J,10,0)</f>
        <v>21263</v>
      </c>
    </row>
    <row r="41" spans="1:7" x14ac:dyDescent="0.2">
      <c r="A41">
        <v>1428</v>
      </c>
      <c r="B41" t="s">
        <v>223</v>
      </c>
      <c r="C41" t="s">
        <v>224</v>
      </c>
      <c r="D41" t="str">
        <f>VLOOKUP(A41,'2019'!A:E,5,0)</f>
        <v>Baş Mühendis</v>
      </c>
      <c r="E41" t="str">
        <f>VLOOKUP(A41,'2019'!A:G,7,0)</f>
        <v>Mühendislik</v>
      </c>
      <c r="F41" s="2">
        <f>VLOOKUP(A41,'2019'!A:I,9,0)</f>
        <v>31728</v>
      </c>
      <c r="G41" s="2">
        <f>VLOOKUP(A41,'2019'!A:J,10,0)</f>
        <v>21267</v>
      </c>
    </row>
    <row r="42" spans="1:7" x14ac:dyDescent="0.2">
      <c r="A42">
        <v>1510</v>
      </c>
      <c r="B42" t="s">
        <v>184</v>
      </c>
      <c r="C42" t="s">
        <v>227</v>
      </c>
      <c r="D42" t="str">
        <f>VLOOKUP(A42,'2019'!A:E,5,0)</f>
        <v>Makine Mühendisi</v>
      </c>
      <c r="E42" t="str">
        <f>VLOOKUP(A42,'2019'!A:G,7,0)</f>
        <v>Mühendislik</v>
      </c>
      <c r="F42" s="2">
        <f>VLOOKUP(A42,'2019'!A:I,9,0)</f>
        <v>31209</v>
      </c>
      <c r="G42" s="2">
        <f>VLOOKUP(A42,'2019'!A:J,10,0)</f>
        <v>22954</v>
      </c>
    </row>
    <row r="43" spans="1:7" x14ac:dyDescent="0.2">
      <c r="A43">
        <v>1516</v>
      </c>
      <c r="B43" t="s">
        <v>228</v>
      </c>
      <c r="C43" t="s">
        <v>229</v>
      </c>
      <c r="D43" t="str">
        <f>VLOOKUP(A43,'2019'!A:E,5,0)</f>
        <v>Muhasebe Yrd.</v>
      </c>
      <c r="E43" t="str">
        <f>VLOOKUP(A43,'2019'!A:G,7,0)</f>
        <v>Muhasebe</v>
      </c>
      <c r="F43" s="2">
        <f>VLOOKUP(A43,'2019'!A:I,9,0)</f>
        <v>31112</v>
      </c>
      <c r="G43" s="2">
        <f>VLOOKUP(A43,'2019'!A:J,10,0)</f>
        <v>23188</v>
      </c>
    </row>
    <row r="44" spans="1:7" x14ac:dyDescent="0.2">
      <c r="A44">
        <v>1517</v>
      </c>
      <c r="B44" t="s">
        <v>230</v>
      </c>
      <c r="C44" t="s">
        <v>231</v>
      </c>
      <c r="D44" t="str">
        <f>VLOOKUP(A44,'2019'!A:E,5,0)</f>
        <v>Mühendislik Yön.</v>
      </c>
      <c r="E44" t="str">
        <f>VLOOKUP(A44,'2019'!A:G,7,0)</f>
        <v>Mühendislik</v>
      </c>
      <c r="F44" s="2">
        <f>VLOOKUP(A44,'2019'!A:I,9,0)</f>
        <v>31104</v>
      </c>
      <c r="G44" s="2">
        <f>VLOOKUP(A44,'2019'!A:J,10,0)</f>
        <v>23199</v>
      </c>
    </row>
    <row r="45" spans="1:7" x14ac:dyDescent="0.2">
      <c r="A45">
        <v>1529</v>
      </c>
      <c r="B45" t="s">
        <v>234</v>
      </c>
      <c r="C45" t="s">
        <v>235</v>
      </c>
      <c r="D45" t="str">
        <f>VLOOKUP(A45,'2019'!A:E,5,0)</f>
        <v>Yönetim Yrd.</v>
      </c>
      <c r="E45" t="str">
        <f>VLOOKUP(A45,'2019'!A:G,7,0)</f>
        <v>Mühendislik</v>
      </c>
      <c r="F45" s="2">
        <f>VLOOKUP(A45,'2019'!A:I,9,0)</f>
        <v>31805</v>
      </c>
      <c r="G45" s="2">
        <f>VLOOKUP(A45,'2019'!A:J,10,0)</f>
        <v>24476</v>
      </c>
    </row>
    <row r="46" spans="1:7" x14ac:dyDescent="0.2">
      <c r="A46">
        <v>1530</v>
      </c>
      <c r="B46" t="s">
        <v>236</v>
      </c>
      <c r="C46" t="s">
        <v>237</v>
      </c>
      <c r="D46" t="str">
        <f>VLOOKUP(A46,'2019'!A:E,5,0)</f>
        <v>Yönetim Yrd.</v>
      </c>
      <c r="E46" t="str">
        <f>VLOOKUP(A46,'2019'!A:G,7,0)</f>
        <v>Yönetim</v>
      </c>
      <c r="F46" s="2">
        <f>VLOOKUP(A46,'2019'!A:I,9,0)</f>
        <v>33258</v>
      </c>
      <c r="G46" s="2">
        <f>VLOOKUP(A46,'2019'!A:J,10,0)</f>
        <v>24487</v>
      </c>
    </row>
    <row r="47" spans="1:7" x14ac:dyDescent="0.2">
      <c r="A47">
        <v>1531</v>
      </c>
      <c r="B47" t="s">
        <v>238</v>
      </c>
      <c r="C47" t="s">
        <v>239</v>
      </c>
      <c r="D47" t="str">
        <f>VLOOKUP(A47,'2019'!A:E,5,0)</f>
        <v>Araştırma Görevlisi</v>
      </c>
      <c r="E47" t="str">
        <f>VLOOKUP(A47,'2019'!A:G,7,0)</f>
        <v>Araştırma</v>
      </c>
      <c r="F47" s="2">
        <f>VLOOKUP(A47,'2019'!A:I,9,0)</f>
        <v>31543</v>
      </c>
      <c r="G47" s="2">
        <f>VLOOKUP(A47,'2019'!A:J,10,0)</f>
        <v>24491</v>
      </c>
    </row>
    <row r="48" spans="1:7" x14ac:dyDescent="0.2">
      <c r="A48">
        <v>1556</v>
      </c>
      <c r="B48" t="s">
        <v>240</v>
      </c>
      <c r="C48" t="s">
        <v>241</v>
      </c>
      <c r="D48" t="str">
        <f>VLOOKUP(A48,'2019'!A:E,5,0)</f>
        <v>Teknisyen</v>
      </c>
      <c r="E48" t="str">
        <f>VLOOKUP(A48,'2019'!A:G,7,0)</f>
        <v>Mühendislik</v>
      </c>
      <c r="F48" s="2">
        <f>VLOOKUP(A48,'2019'!A:I,9,0)</f>
        <v>29916</v>
      </c>
      <c r="G48" s="2">
        <f>VLOOKUP(A48,'2019'!A:J,10,0)</f>
        <v>23996</v>
      </c>
    </row>
    <row r="49" spans="1:7" x14ac:dyDescent="0.2">
      <c r="A49">
        <v>1557</v>
      </c>
      <c r="B49" t="s">
        <v>242</v>
      </c>
      <c r="C49" t="s">
        <v>243</v>
      </c>
      <c r="D49" t="str">
        <f>VLOOKUP(A49,'2019'!A:E,5,0)</f>
        <v>Yönetim Yrd.</v>
      </c>
      <c r="E49" t="str">
        <f>VLOOKUP(A49,'2019'!A:G,7,0)</f>
        <v>Yönetim</v>
      </c>
      <c r="F49" s="2">
        <f>VLOOKUP(A49,'2019'!A:I,9,0)</f>
        <v>29908</v>
      </c>
      <c r="G49" s="2">
        <f>VLOOKUP(A49,'2019'!A:J,10,0)</f>
        <v>24007</v>
      </c>
    </row>
    <row r="50" spans="1:7" x14ac:dyDescent="0.2">
      <c r="A50">
        <v>1558</v>
      </c>
      <c r="B50" t="s">
        <v>244</v>
      </c>
      <c r="C50" t="s">
        <v>245</v>
      </c>
      <c r="D50" t="str">
        <f>VLOOKUP(A50,'2019'!A:E,5,0)</f>
        <v>Ürün Pazarlayıcı</v>
      </c>
      <c r="E50" t="str">
        <f>VLOOKUP(A50,'2019'!A:G,7,0)</f>
        <v>Pazarlama</v>
      </c>
      <c r="F50" s="2">
        <f>VLOOKUP(A50,'2019'!A:I,9,0)</f>
        <v>30240</v>
      </c>
      <c r="G50" s="2">
        <f>VLOOKUP(A50,'2019'!A:J,10,0)</f>
        <v>24011</v>
      </c>
    </row>
    <row r="51" spans="1:7" x14ac:dyDescent="0.2">
      <c r="A51">
        <v>1572</v>
      </c>
      <c r="B51" t="s">
        <v>217</v>
      </c>
      <c r="C51" t="s">
        <v>246</v>
      </c>
      <c r="D51" t="str">
        <f>VLOOKUP(A51,'2019'!A:E,5,0)</f>
        <v>Teknisyen</v>
      </c>
      <c r="E51" t="str">
        <f>VLOOKUP(A51,'2019'!A:G,7,0)</f>
        <v>Mühendislik</v>
      </c>
      <c r="F51" s="2">
        <f>VLOOKUP(A51,'2019'!A:I,9,0)</f>
        <v>32339</v>
      </c>
      <c r="G51" s="2">
        <f>VLOOKUP(A51,'2019'!A:J,10,0)</f>
        <v>22056</v>
      </c>
    </row>
    <row r="52" spans="1:7" x14ac:dyDescent="0.2">
      <c r="A52">
        <v>1574</v>
      </c>
      <c r="B52" t="s">
        <v>249</v>
      </c>
      <c r="C52" t="s">
        <v>250</v>
      </c>
      <c r="D52" t="str">
        <f>VLOOKUP(A52,'2019'!A:E,5,0)</f>
        <v>Baş Mühendis</v>
      </c>
      <c r="E52" t="str">
        <f>VLOOKUP(A52,'2019'!A:G,7,0)</f>
        <v>Mühendislik</v>
      </c>
      <c r="F52" s="2">
        <f>VLOOKUP(A52,'2019'!A:I,9,0)</f>
        <v>31452</v>
      </c>
      <c r="G52" s="2">
        <f>VLOOKUP(A52,'2019'!A:J,10,0)</f>
        <v>22071</v>
      </c>
    </row>
    <row r="53" spans="1:7" x14ac:dyDescent="0.2">
      <c r="A53">
        <v>1656</v>
      </c>
      <c r="B53" t="s">
        <v>251</v>
      </c>
      <c r="C53" t="s">
        <v>252</v>
      </c>
      <c r="D53" t="str">
        <f>VLOOKUP(A53,'2019'!A:E,5,0)</f>
        <v>Yönetim Yrd.</v>
      </c>
      <c r="E53" t="str">
        <f>VLOOKUP(A53,'2019'!A:G,7,0)</f>
        <v>Pazarlama</v>
      </c>
      <c r="F53" s="2">
        <f>VLOOKUP(A53,'2019'!A:I,9,0)</f>
        <v>32125</v>
      </c>
      <c r="G53" s="2">
        <f>VLOOKUP(A53,'2019'!A:J,10,0)</f>
        <v>23283</v>
      </c>
    </row>
    <row r="54" spans="1:7" x14ac:dyDescent="0.2">
      <c r="A54">
        <v>1657</v>
      </c>
      <c r="B54" t="s">
        <v>253</v>
      </c>
      <c r="C54" t="s">
        <v>254</v>
      </c>
      <c r="D54" t="str">
        <f>VLOOKUP(A54,'2019'!A:E,5,0)</f>
        <v>Muhasebeci</v>
      </c>
      <c r="E54" t="str">
        <f>VLOOKUP(A54,'2019'!A:G,7,0)</f>
        <v>Muhasebe</v>
      </c>
      <c r="F54" s="2">
        <f>VLOOKUP(A54,'2019'!A:I,9,0)</f>
        <v>32117</v>
      </c>
      <c r="G54" s="2">
        <f>VLOOKUP(A54,'2019'!A:J,10,0)</f>
        <v>23294</v>
      </c>
    </row>
    <row r="55" spans="1:7" x14ac:dyDescent="0.2">
      <c r="A55">
        <v>1658</v>
      </c>
      <c r="B55" t="s">
        <v>255</v>
      </c>
      <c r="C55" t="s">
        <v>256</v>
      </c>
      <c r="D55" t="str">
        <f>VLOOKUP(A55,'2019'!A:E,5,0)</f>
        <v>Yazılım Mühendisi</v>
      </c>
      <c r="E55" t="str">
        <f>VLOOKUP(A55,'2019'!A:G,7,0)</f>
        <v>Mühendislik</v>
      </c>
      <c r="F55" s="2">
        <f>VLOOKUP(A55,'2019'!A:I,9,0)</f>
        <v>32300</v>
      </c>
      <c r="G55" s="2">
        <f>VLOOKUP(A55,'2019'!A:J,10,0)</f>
        <v>23298</v>
      </c>
    </row>
    <row r="56" spans="1:7" x14ac:dyDescent="0.2">
      <c r="A56">
        <v>1673</v>
      </c>
      <c r="B56" t="s">
        <v>257</v>
      </c>
      <c r="C56" t="s">
        <v>258</v>
      </c>
      <c r="D56" t="str">
        <f>VLOOKUP(A56,'2019'!A:E,5,0)</f>
        <v>Yönetim Yrd.</v>
      </c>
      <c r="E56" t="str">
        <f>VLOOKUP(A56,'2019'!A:G,7,0)</f>
        <v>Mühendislik</v>
      </c>
      <c r="F56" s="2">
        <f>VLOOKUP(A56,'2019'!A:I,9,0)</f>
        <v>32979</v>
      </c>
      <c r="G56" s="2">
        <f>VLOOKUP(A56,'2019'!A:J,10,0)</f>
        <v>22890</v>
      </c>
    </row>
    <row r="57" spans="1:7" x14ac:dyDescent="0.2">
      <c r="A57">
        <v>1674</v>
      </c>
      <c r="B57" t="s">
        <v>259</v>
      </c>
      <c r="C57" t="s">
        <v>260</v>
      </c>
      <c r="D57" t="str">
        <f>VLOOKUP(A57,'2019'!A:E,5,0)</f>
        <v>Muhasebe Yrd.</v>
      </c>
      <c r="E57" t="str">
        <f>VLOOKUP(A57,'2019'!A:G,7,0)</f>
        <v>Muhasebe</v>
      </c>
      <c r="F57" s="2">
        <f>VLOOKUP(A57,'2019'!A:I,9,0)</f>
        <v>33688</v>
      </c>
      <c r="G57" s="2">
        <f>VLOOKUP(A57,'2019'!A:J,10,0)</f>
        <v>23393</v>
      </c>
    </row>
    <row r="58" spans="1:7" x14ac:dyDescent="0.2">
      <c r="A58">
        <v>1676</v>
      </c>
      <c r="B58" t="s">
        <v>263</v>
      </c>
      <c r="C58" t="s">
        <v>264</v>
      </c>
      <c r="D58" t="str">
        <f>VLOOKUP(A58,'2019'!A:E,5,0)</f>
        <v>Yönetim Yrd.</v>
      </c>
      <c r="E58" t="str">
        <f>VLOOKUP(A58,'2019'!A:G,7,0)</f>
        <v>Yönetim</v>
      </c>
      <c r="F58" s="2">
        <f>VLOOKUP(A58,'2019'!A:I,9,0)</f>
        <v>29877</v>
      </c>
      <c r="G58" s="2">
        <f>VLOOKUP(A58,'2019'!A:J,10,0)</f>
        <v>25458</v>
      </c>
    </row>
    <row r="59" spans="1:7" x14ac:dyDescent="0.2">
      <c r="A59">
        <v>1677</v>
      </c>
      <c r="B59" t="s">
        <v>256</v>
      </c>
      <c r="C59" t="s">
        <v>265</v>
      </c>
      <c r="D59" t="str">
        <f>VLOOKUP(A59,'2019'!A:E,5,0)</f>
        <v>Araştırma Görevlisi</v>
      </c>
      <c r="E59" t="str">
        <f>VLOOKUP(A59,'2019'!A:G,7,0)</f>
        <v>Araştırma</v>
      </c>
      <c r="F59" s="2">
        <f>VLOOKUP(A59,'2019'!A:I,9,0)</f>
        <v>32087</v>
      </c>
      <c r="G59" s="2">
        <f>VLOOKUP(A59,'2019'!A:J,10,0)</f>
        <v>25462</v>
      </c>
    </row>
    <row r="60" spans="1:7" x14ac:dyDescent="0.2">
      <c r="A60">
        <v>1695</v>
      </c>
      <c r="B60" t="s">
        <v>266</v>
      </c>
      <c r="C60" t="s">
        <v>267</v>
      </c>
      <c r="D60" t="str">
        <f>VLOOKUP(A60,'2019'!A:E,5,0)</f>
        <v>Tasarım Uzmanı</v>
      </c>
      <c r="E60" t="str">
        <f>VLOOKUP(A60,'2019'!A:G,7,0)</f>
        <v>Sanat</v>
      </c>
      <c r="F60" s="2">
        <f>VLOOKUP(A60,'2019'!A:I,9,0)</f>
        <v>30975</v>
      </c>
      <c r="G60" s="2">
        <f>VLOOKUP(A60,'2019'!A:J,10,0)</f>
        <v>21920</v>
      </c>
    </row>
    <row r="61" spans="1:7" x14ac:dyDescent="0.2">
      <c r="A61">
        <v>1696</v>
      </c>
      <c r="B61" t="s">
        <v>268</v>
      </c>
      <c r="C61" t="s">
        <v>269</v>
      </c>
      <c r="D61" t="str">
        <f>VLOOKUP(A61,'2019'!A:E,5,0)</f>
        <v>Makine Mühendisi</v>
      </c>
      <c r="E61" t="str">
        <f>VLOOKUP(A61,'2019'!A:G,7,0)</f>
        <v>Mühendislik</v>
      </c>
      <c r="F61" s="2">
        <f>VLOOKUP(A61,'2019'!A:I,9,0)</f>
        <v>30967</v>
      </c>
      <c r="G61" s="2">
        <f>VLOOKUP(A61,'2019'!A:J,10,0)</f>
        <v>14626</v>
      </c>
    </row>
    <row r="62" spans="1:7" x14ac:dyDescent="0.2">
      <c r="A62">
        <v>1724</v>
      </c>
      <c r="B62" t="s">
        <v>272</v>
      </c>
      <c r="C62" t="s">
        <v>273</v>
      </c>
      <c r="D62" t="str">
        <f>VLOOKUP(A62,'2019'!A:E,5,0)</f>
        <v>Grup Yönetim Yrd.</v>
      </c>
      <c r="E62" t="str">
        <f>VLOOKUP(A62,'2019'!A:G,7,0)</f>
        <v>Pazarlama</v>
      </c>
      <c r="F62" s="2">
        <f>VLOOKUP(A62,'2019'!A:I,9,0)</f>
        <v>33083</v>
      </c>
      <c r="G62" s="2">
        <f>VLOOKUP(A62,'2019'!A:J,10,0)</f>
        <v>23883</v>
      </c>
    </row>
    <row r="63" spans="1:7" x14ac:dyDescent="0.2">
      <c r="A63">
        <v>1725</v>
      </c>
      <c r="B63" t="s">
        <v>274</v>
      </c>
      <c r="C63" t="s">
        <v>275</v>
      </c>
      <c r="D63" t="str">
        <f>VLOOKUP(A63,'2019'!A:E,5,0)</f>
        <v>Grup Yöneticisi</v>
      </c>
      <c r="E63" t="str">
        <f>VLOOKUP(A63,'2019'!A:G,7,0)</f>
        <v>Pazarlama</v>
      </c>
      <c r="F63" s="2">
        <f>VLOOKUP(A63,'2019'!A:I,9,0)</f>
        <v>28523</v>
      </c>
      <c r="G63" s="2">
        <f>VLOOKUP(A63,'2019'!A:J,10,0)</f>
        <v>19877</v>
      </c>
    </row>
    <row r="64" spans="1:7" x14ac:dyDescent="0.2">
      <c r="A64">
        <v>1758</v>
      </c>
      <c r="B64" t="s">
        <v>276</v>
      </c>
      <c r="C64" t="s">
        <v>277</v>
      </c>
      <c r="D64" t="str">
        <f>VLOOKUP(A64,'2019'!A:E,5,0)</f>
        <v>Tasarım Uzmanı</v>
      </c>
      <c r="E64" t="str">
        <f>VLOOKUP(A64,'2019'!A:G,7,0)</f>
        <v>Sanat</v>
      </c>
      <c r="F64" s="2">
        <f>VLOOKUP(A64,'2019'!A:I,9,0)</f>
        <v>30028</v>
      </c>
      <c r="G64" s="2">
        <f>VLOOKUP(A64,'2019'!A:J,10,0)</f>
        <v>22942</v>
      </c>
    </row>
    <row r="65" spans="1:7" x14ac:dyDescent="0.2">
      <c r="A65">
        <v>1792</v>
      </c>
      <c r="B65" t="s">
        <v>280</v>
      </c>
      <c r="C65" t="s">
        <v>281</v>
      </c>
      <c r="D65" t="str">
        <f>VLOOKUP(A65,'2019'!A:E,5,0)</f>
        <v>Tasarım Uzmanı</v>
      </c>
      <c r="E65" t="str">
        <f>VLOOKUP(A65,'2019'!A:G,7,0)</f>
        <v>Sanat</v>
      </c>
      <c r="F65" s="2">
        <f>VLOOKUP(A65,'2019'!A:I,9,0)</f>
        <v>33231</v>
      </c>
      <c r="G65" s="2">
        <f>VLOOKUP(A65,'2019'!A:J,10,0)</f>
        <v>25114</v>
      </c>
    </row>
    <row r="66" spans="1:7" x14ac:dyDescent="0.2">
      <c r="A66">
        <v>1793</v>
      </c>
      <c r="B66" t="s">
        <v>282</v>
      </c>
      <c r="C66" t="s">
        <v>283</v>
      </c>
      <c r="D66" t="str">
        <f>VLOOKUP(A66,'2019'!A:E,5,0)</f>
        <v>Yönetim Yrd.</v>
      </c>
      <c r="E66" t="str">
        <f>VLOOKUP(A66,'2019'!A:G,7,0)</f>
        <v>Yönetim</v>
      </c>
      <c r="F66" s="2">
        <f>VLOOKUP(A66,'2019'!A:I,9,0)</f>
        <v>33223</v>
      </c>
      <c r="G66" s="2">
        <f>VLOOKUP(A66,'2019'!A:J,10,0)</f>
        <v>25125</v>
      </c>
    </row>
    <row r="67" spans="1:7" x14ac:dyDescent="0.2">
      <c r="A67">
        <v>1794</v>
      </c>
      <c r="B67" t="s">
        <v>284</v>
      </c>
      <c r="C67" t="s">
        <v>285</v>
      </c>
      <c r="D67" t="str">
        <f>VLOOKUP(A67,'2019'!A:E,5,0)</f>
        <v>Ürün Pazarlayıcı</v>
      </c>
      <c r="E67" t="str">
        <f>VLOOKUP(A67,'2019'!A:G,7,0)</f>
        <v>Pazarlama</v>
      </c>
      <c r="F67" s="2">
        <f>VLOOKUP(A67,'2019'!A:I,9,0)</f>
        <v>31034</v>
      </c>
      <c r="G67" s="2">
        <f>VLOOKUP(A67,'2019'!A:J,10,0)</f>
        <v>25129</v>
      </c>
    </row>
    <row r="68" spans="1:7" x14ac:dyDescent="0.2">
      <c r="A68">
        <v>1815</v>
      </c>
      <c r="B68" t="s">
        <v>288</v>
      </c>
      <c r="C68" t="s">
        <v>289</v>
      </c>
      <c r="D68" t="str">
        <f>VLOOKUP(A68,'2019'!A:E,5,0)</f>
        <v>Mühendislik Yön.</v>
      </c>
      <c r="E68" t="str">
        <f>VLOOKUP(A68,'2019'!A:G,7,0)</f>
        <v>Mühendislik</v>
      </c>
      <c r="F68" s="2">
        <f>VLOOKUP(A68,'2019'!A:I,9,0)</f>
        <v>29276</v>
      </c>
      <c r="G68" s="2">
        <f>VLOOKUP(A68,'2019'!A:J,10,0)</f>
        <v>21790</v>
      </c>
    </row>
    <row r="69" spans="1:7" x14ac:dyDescent="0.2">
      <c r="A69">
        <v>1816</v>
      </c>
      <c r="B69" t="s">
        <v>290</v>
      </c>
      <c r="C69" t="s">
        <v>291</v>
      </c>
      <c r="D69" t="str">
        <f>VLOOKUP(A69,'2019'!A:E,5,0)</f>
        <v>Yazılım Mühendisi</v>
      </c>
      <c r="E69" t="str">
        <f>VLOOKUP(A69,'2019'!A:G,7,0)</f>
        <v>Mühendislik</v>
      </c>
      <c r="F69" s="2">
        <f>VLOOKUP(A69,'2019'!A:I,9,0)</f>
        <v>33062</v>
      </c>
      <c r="G69" s="2">
        <f>VLOOKUP(A69,'2019'!A:J,10,0)</f>
        <v>25447</v>
      </c>
    </row>
    <row r="70" spans="1:7" x14ac:dyDescent="0.2">
      <c r="A70">
        <v>1906</v>
      </c>
      <c r="B70" t="s">
        <v>292</v>
      </c>
      <c r="C70" t="s">
        <v>293</v>
      </c>
      <c r="D70" t="str">
        <f>VLOOKUP(A70,'2019'!A:E,5,0)</f>
        <v>Yönetim Yrd.</v>
      </c>
      <c r="E70" t="str">
        <f>VLOOKUP(A70,'2019'!A:G,7,0)</f>
        <v>Pazarlama</v>
      </c>
      <c r="F70" s="2">
        <f>VLOOKUP(A70,'2019'!A:I,9,0)</f>
        <v>32779</v>
      </c>
      <c r="G70" s="2">
        <f>VLOOKUP(A70,'2019'!A:J,10,0)</f>
        <v>22161</v>
      </c>
    </row>
    <row r="71" spans="1:7" x14ac:dyDescent="0.2">
      <c r="A71">
        <v>1908</v>
      </c>
      <c r="B71" t="s">
        <v>296</v>
      </c>
      <c r="C71" t="s">
        <v>297</v>
      </c>
      <c r="D71" t="str">
        <f>VLOOKUP(A71,'2019'!A:E,5,0)</f>
        <v>Birim Yön.</v>
      </c>
      <c r="E71" t="str">
        <f>VLOOKUP(A71,'2019'!A:G,7,0)</f>
        <v>Yönetim</v>
      </c>
      <c r="F71" s="2">
        <f>VLOOKUP(A71,'2019'!A:I,9,0)</f>
        <v>30817</v>
      </c>
      <c r="G71" s="2">
        <f>VLOOKUP(A71,'2019'!A:J,10,0)</f>
        <v>21449</v>
      </c>
    </row>
    <row r="72" spans="1:7" x14ac:dyDescent="0.2">
      <c r="A72">
        <v>1922</v>
      </c>
      <c r="B72" t="s">
        <v>298</v>
      </c>
      <c r="C72" t="s">
        <v>299</v>
      </c>
      <c r="D72" t="str">
        <f>VLOOKUP(A72,'2019'!A:E,5,0)</f>
        <v>Teknisyen Yrd.</v>
      </c>
      <c r="E72" t="str">
        <f>VLOOKUP(A72,'2019'!A:G,7,0)</f>
        <v>Mühendislik</v>
      </c>
      <c r="F72" s="2">
        <f>VLOOKUP(A72,'2019'!A:I,9,0)</f>
        <v>31751</v>
      </c>
      <c r="G72" s="2">
        <f>VLOOKUP(A72,'2019'!A:J,10,0)</f>
        <v>22336</v>
      </c>
    </row>
    <row r="73" spans="1:7" x14ac:dyDescent="0.2">
      <c r="A73">
        <v>1923</v>
      </c>
      <c r="B73" t="s">
        <v>300</v>
      </c>
      <c r="C73" t="s">
        <v>301</v>
      </c>
      <c r="D73" t="str">
        <f>VLOOKUP(A73,'2019'!A:E,5,0)</f>
        <v>Ürün Pazarlayıcı</v>
      </c>
      <c r="E73" t="str">
        <f>VLOOKUP(A73,'2019'!A:G,7,0)</f>
        <v>Pazarlama</v>
      </c>
      <c r="F73" s="2">
        <f>VLOOKUP(A73,'2019'!A:I,9,0)</f>
        <v>31743</v>
      </c>
      <c r="G73" s="2">
        <f>VLOOKUP(A73,'2019'!A:J,10,0)</f>
        <v>22347</v>
      </c>
    </row>
    <row r="74" spans="1:7" x14ac:dyDescent="0.2">
      <c r="A74">
        <v>1932</v>
      </c>
      <c r="B74" t="s">
        <v>304</v>
      </c>
      <c r="C74" t="s">
        <v>305</v>
      </c>
      <c r="D74" t="str">
        <f>VLOOKUP(A74,'2019'!A:E,5,0)</f>
        <v>Muhasebeci</v>
      </c>
      <c r="E74" t="str">
        <f>VLOOKUP(A74,'2019'!A:G,7,0)</f>
        <v>Muhasebe</v>
      </c>
      <c r="F74" s="2">
        <f>VLOOKUP(A74,'2019'!A:I,9,0)</f>
        <v>32671</v>
      </c>
      <c r="G74" s="2">
        <f>VLOOKUP(A74,'2019'!A:J,10,0)</f>
        <v>18057</v>
      </c>
    </row>
    <row r="75" spans="1:7" x14ac:dyDescent="0.2">
      <c r="A75">
        <v>1933</v>
      </c>
      <c r="B75" t="s">
        <v>306</v>
      </c>
      <c r="C75" t="s">
        <v>307</v>
      </c>
      <c r="D75" t="str">
        <f>VLOOKUP(A75,'2019'!A:E,5,0)</f>
        <v>Baş Mühendis</v>
      </c>
      <c r="E75" t="str">
        <f>VLOOKUP(A75,'2019'!A:G,7,0)</f>
        <v>Mühendislik</v>
      </c>
      <c r="F75" s="2">
        <f>VLOOKUP(A75,'2019'!A:I,9,0)</f>
        <v>30689</v>
      </c>
      <c r="G75" s="2">
        <f>VLOOKUP(A75,'2019'!A:J,10,0)</f>
        <v>18061</v>
      </c>
    </row>
    <row r="76" spans="1:7" x14ac:dyDescent="0.2">
      <c r="A76">
        <v>1950</v>
      </c>
      <c r="B76" t="s">
        <v>310</v>
      </c>
      <c r="C76" t="s">
        <v>311</v>
      </c>
      <c r="D76" t="str">
        <f>VLOOKUP(A76,'2019'!A:E,5,0)</f>
        <v>Grup Yöneticisi</v>
      </c>
      <c r="E76" t="str">
        <f>VLOOKUP(A76,'2019'!A:G,7,0)</f>
        <v>Pazarlama</v>
      </c>
      <c r="F76" s="2">
        <f>VLOOKUP(A76,'2019'!A:I,9,0)</f>
        <v>29863</v>
      </c>
      <c r="G76" s="2">
        <f>VLOOKUP(A76,'2019'!A:J,10,0)</f>
        <v>18696</v>
      </c>
    </row>
    <row r="77" spans="1:7" x14ac:dyDescent="0.2">
      <c r="A77">
        <v>1960</v>
      </c>
      <c r="B77" t="s">
        <v>312</v>
      </c>
      <c r="C77" t="s">
        <v>313</v>
      </c>
      <c r="D77" t="str">
        <f>VLOOKUP(A77,'2019'!A:E,5,0)</f>
        <v>Grup Yönetim Yrd.</v>
      </c>
      <c r="E77" t="str">
        <f>VLOOKUP(A77,'2019'!A:G,7,0)</f>
        <v>Muhasebe</v>
      </c>
      <c r="F77" s="2">
        <f>VLOOKUP(A77,'2019'!A:I,9,0)</f>
        <v>31729</v>
      </c>
      <c r="G77" s="2">
        <f>VLOOKUP(A77,'2019'!A:J,10,0)</f>
        <v>23823</v>
      </c>
    </row>
    <row r="78" spans="1:7" x14ac:dyDescent="0.2">
      <c r="A78">
        <v>1961</v>
      </c>
      <c r="B78" t="s">
        <v>314</v>
      </c>
      <c r="C78" t="s">
        <v>315</v>
      </c>
      <c r="D78" t="str">
        <f>VLOOKUP(A78,'2019'!A:E,5,0)</f>
        <v>Yönetim Yrd.</v>
      </c>
      <c r="E78" t="str">
        <f>VLOOKUP(A78,'2019'!A:G,7,0)</f>
        <v>Yönetim</v>
      </c>
      <c r="F78" s="2">
        <f>VLOOKUP(A78,'2019'!A:I,9,0)</f>
        <v>31721</v>
      </c>
      <c r="G78" s="2">
        <f>VLOOKUP(A78,'2019'!A:J,10,0)</f>
        <v>23834</v>
      </c>
    </row>
    <row r="79" spans="1:7" x14ac:dyDescent="0.2">
      <c r="A79">
        <v>1962</v>
      </c>
      <c r="B79" t="s">
        <v>316</v>
      </c>
      <c r="C79" t="s">
        <v>197</v>
      </c>
      <c r="D79" t="str">
        <f>VLOOKUP(A79,'2019'!A:E,5,0)</f>
        <v>Satış Sorumlusu</v>
      </c>
      <c r="E79" t="str">
        <f>VLOOKUP(A79,'2019'!A:G,7,0)</f>
        <v>Pazarlama</v>
      </c>
      <c r="F79" s="2">
        <f>VLOOKUP(A79,'2019'!A:I,9,0)</f>
        <v>32072</v>
      </c>
      <c r="G79" s="2">
        <f>VLOOKUP(A79,'2019'!A:J,10,0)</f>
        <v>16533</v>
      </c>
    </row>
    <row r="80" spans="1:7" x14ac:dyDescent="0.2">
      <c r="A80">
        <v>1966</v>
      </c>
      <c r="B80" t="s">
        <v>317</v>
      </c>
      <c r="C80" t="s">
        <v>318</v>
      </c>
      <c r="D80" t="str">
        <f>VLOOKUP(A80,'2019'!A:E,5,0)</f>
        <v>Tasarım Yrd.</v>
      </c>
      <c r="E80" t="str">
        <f>VLOOKUP(A80,'2019'!A:G,7,0)</f>
        <v>Sanat</v>
      </c>
      <c r="F80" s="2">
        <f>VLOOKUP(A80,'2019'!A:I,9,0)</f>
        <v>33559</v>
      </c>
      <c r="G80" s="2">
        <f>VLOOKUP(A80,'2019'!A:J,10,0)</f>
        <v>25327</v>
      </c>
    </row>
    <row r="81" spans="1:7" x14ac:dyDescent="0.2">
      <c r="A81">
        <v>1967</v>
      </c>
      <c r="B81" t="s">
        <v>319</v>
      </c>
      <c r="C81" t="s">
        <v>320</v>
      </c>
      <c r="D81" t="str">
        <f>VLOOKUP(A81,'2019'!A:E,5,0)</f>
        <v>Satış Sorumlusu</v>
      </c>
      <c r="E81" t="str">
        <f>VLOOKUP(A81,'2019'!A:G,7,0)</f>
        <v>Pazarlama</v>
      </c>
      <c r="F81" s="2">
        <f>VLOOKUP(A81,'2019'!A:I,9,0)</f>
        <v>30054</v>
      </c>
      <c r="G81" s="2">
        <f>VLOOKUP(A81,'2019'!A:J,10,0)</f>
        <v>18888</v>
      </c>
    </row>
    <row r="82" spans="1:7" x14ac:dyDescent="0.2">
      <c r="A82">
        <v>1969</v>
      </c>
      <c r="B82" t="s">
        <v>322</v>
      </c>
      <c r="C82" t="s">
        <v>323</v>
      </c>
      <c r="D82" t="str">
        <f>VLOOKUP(A82,'2019'!A:E,5,0)</f>
        <v>Satış Sorumlusu</v>
      </c>
      <c r="E82" t="str">
        <f>VLOOKUP(A82,'2019'!A:G,7,0)</f>
        <v>Pazarlama</v>
      </c>
      <c r="F82" s="2">
        <f>VLOOKUP(A82,'2019'!A:I,9,0)</f>
        <v>32612</v>
      </c>
      <c r="G82" s="2">
        <f>VLOOKUP(A82,'2019'!A:J,10,0)</f>
        <v>18903</v>
      </c>
    </row>
    <row r="83" spans="1:7" x14ac:dyDescent="0.2">
      <c r="A83">
        <v>1975</v>
      </c>
      <c r="B83" t="s">
        <v>324</v>
      </c>
      <c r="C83" t="s">
        <v>325</v>
      </c>
      <c r="D83" t="str">
        <f>VLOOKUP(A83,'2019'!A:E,5,0)</f>
        <v>Muhasebe Yrd.</v>
      </c>
      <c r="E83" t="str">
        <f>VLOOKUP(A83,'2019'!A:G,7,0)</f>
        <v>Muhasebe</v>
      </c>
      <c r="F83" s="2">
        <f>VLOOKUP(A83,'2019'!A:I,9,0)</f>
        <v>33365</v>
      </c>
      <c r="G83" s="2">
        <f>VLOOKUP(A83,'2019'!A:J,10,0)</f>
        <v>25839</v>
      </c>
    </row>
    <row r="84" spans="1:7" x14ac:dyDescent="0.2">
      <c r="A84">
        <v>1976</v>
      </c>
      <c r="B84" t="s">
        <v>326</v>
      </c>
      <c r="C84" t="s">
        <v>327</v>
      </c>
      <c r="D84" t="str">
        <f>VLOOKUP(A84,'2019'!A:E,5,0)</f>
        <v>Grup Yönetim Yrd.</v>
      </c>
      <c r="E84" t="str">
        <f>VLOOKUP(A84,'2019'!A:G,7,0)</f>
        <v>Mühendislik</v>
      </c>
      <c r="F84" s="2">
        <f>VLOOKUP(A84,'2019'!A:I,9,0)</f>
        <v>33357</v>
      </c>
      <c r="G84" s="2">
        <f>VLOOKUP(A84,'2019'!A:J,10,0)</f>
        <v>25850</v>
      </c>
    </row>
    <row r="85" spans="1:7" x14ac:dyDescent="0.2">
      <c r="A85">
        <v>1978</v>
      </c>
      <c r="B85" t="s">
        <v>330</v>
      </c>
      <c r="C85" t="s">
        <v>331</v>
      </c>
      <c r="D85" t="str">
        <f>VLOOKUP(A85,'2019'!A:E,5,0)</f>
        <v>şef Mühendis</v>
      </c>
      <c r="E85" t="str">
        <f>VLOOKUP(A85,'2019'!A:G,7,0)</f>
        <v>Mühendislik</v>
      </c>
      <c r="F85" s="2">
        <f>VLOOKUP(A85,'2019'!A:I,9,0)</f>
        <v>29377</v>
      </c>
      <c r="G85" s="2">
        <f>VLOOKUP(A85,'2019'!A:J,10,0)</f>
        <v>24741</v>
      </c>
    </row>
    <row r="86" spans="1:7" x14ac:dyDescent="0.2">
      <c r="A86">
        <v>2001</v>
      </c>
      <c r="B86" t="s">
        <v>166</v>
      </c>
      <c r="C86" t="s">
        <v>332</v>
      </c>
      <c r="D86" t="str">
        <f>VLOOKUP(A86,'2019'!A:E,5,0)</f>
        <v>Baş Mühendis</v>
      </c>
      <c r="E86" t="str">
        <f>VLOOKUP(A86,'2019'!A:G,7,0)</f>
        <v>Mühendislik</v>
      </c>
      <c r="F86" s="2">
        <f>VLOOKUP(A86,'2019'!A:I,9,0)</f>
        <v>31421</v>
      </c>
      <c r="G86" s="2">
        <f>VLOOKUP(A86,'2019'!A:J,10,0)</f>
        <v>20360</v>
      </c>
    </row>
    <row r="87" spans="1:7" x14ac:dyDescent="0.2">
      <c r="A87">
        <v>2002</v>
      </c>
      <c r="B87" t="s">
        <v>333</v>
      </c>
      <c r="C87" t="s">
        <v>334</v>
      </c>
      <c r="D87" t="str">
        <f>VLOOKUP(A87,'2019'!A:E,5,0)</f>
        <v>Grup Yönetim Yrd.</v>
      </c>
      <c r="E87" t="str">
        <f>VLOOKUP(A87,'2019'!A:G,7,0)</f>
        <v>Araştırma</v>
      </c>
      <c r="F87" s="2">
        <f>VLOOKUP(A87,'2019'!A:I,9,0)</f>
        <v>32971</v>
      </c>
      <c r="G87" s="2">
        <f>VLOOKUP(A87,'2019'!A:J,10,0)</f>
        <v>22901</v>
      </c>
    </row>
    <row r="88" spans="1:7" x14ac:dyDescent="0.2">
      <c r="A88">
        <v>2004</v>
      </c>
      <c r="B88" t="s">
        <v>337</v>
      </c>
      <c r="C88" t="s">
        <v>338</v>
      </c>
      <c r="D88" t="str">
        <f>VLOOKUP(A88,'2019'!A:E,5,0)</f>
        <v>Ürün Pazarlayıcı</v>
      </c>
      <c r="E88" t="str">
        <f>VLOOKUP(A88,'2019'!A:G,7,0)</f>
        <v>Pazarlama</v>
      </c>
      <c r="F88" s="2">
        <f>VLOOKUP(A88,'2019'!A:I,9,0)</f>
        <v>28531</v>
      </c>
      <c r="G88" s="2">
        <f>VLOOKUP(A88,'2019'!A:J,10,0)</f>
        <v>19866</v>
      </c>
    </row>
    <row r="89" spans="1:7" x14ac:dyDescent="0.2">
      <c r="A89">
        <v>2005</v>
      </c>
      <c r="B89" t="s">
        <v>339</v>
      </c>
      <c r="C89" t="s">
        <v>340</v>
      </c>
      <c r="D89" t="str">
        <f>VLOOKUP(A89,'2019'!A:E,5,0)</f>
        <v>Birim Yön.</v>
      </c>
      <c r="E89" t="str">
        <f>VLOOKUP(A89,'2019'!A:G,7,0)</f>
        <v>Yönetim</v>
      </c>
      <c r="F89" s="2">
        <f>VLOOKUP(A89,'2019'!A:I,9,0)</f>
        <v>28533</v>
      </c>
      <c r="G89" s="2">
        <f>VLOOKUP(A89,'2019'!A:J,10,0)</f>
        <v>20235</v>
      </c>
    </row>
    <row r="90" spans="1:7" x14ac:dyDescent="0.2">
      <c r="A90">
        <v>2007</v>
      </c>
      <c r="B90" t="s">
        <v>342</v>
      </c>
      <c r="C90" t="s">
        <v>343</v>
      </c>
      <c r="D90" t="str">
        <f>VLOOKUP(A90,'2019'!A:E,5,0)</f>
        <v>Büro Yöneticisi</v>
      </c>
      <c r="E90" t="str">
        <f>VLOOKUP(A90,'2019'!A:G,7,0)</f>
        <v>Yönetim</v>
      </c>
      <c r="F90" s="2">
        <f>VLOOKUP(A90,'2019'!A:I,9,0)</f>
        <v>30046</v>
      </c>
      <c r="G90" s="2">
        <f>VLOOKUP(A90,'2019'!A:J,10,0)</f>
        <v>18899</v>
      </c>
    </row>
    <row r="91" spans="1:7" x14ac:dyDescent="0.2">
      <c r="A91">
        <v>2008</v>
      </c>
      <c r="B91" t="s">
        <v>345</v>
      </c>
      <c r="C91" t="s">
        <v>346</v>
      </c>
      <c r="D91" t="str">
        <f>VLOOKUP(A91,'2019'!A:E,5,0)</f>
        <v>Tasarım Uzmanı</v>
      </c>
      <c r="E91" t="str">
        <f>VLOOKUP(A91,'2019'!A:G,7,0)</f>
        <v>Sanat</v>
      </c>
      <c r="F91" s="2">
        <f>VLOOKUP(A91,'2019'!A:I,9,0)</f>
        <v>29385</v>
      </c>
      <c r="G91" s="2">
        <f>VLOOKUP(A91,'2019'!A:J,10,0)</f>
        <v>24730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130" zoomScaleNormal="130" workbookViewId="0">
      <selection activeCell="C2" sqref="C2:C11"/>
    </sheetView>
  </sheetViews>
  <sheetFormatPr defaultRowHeight="12.75" x14ac:dyDescent="0.2"/>
  <cols>
    <col min="1" max="1" width="12.28515625" bestFit="1" customWidth="1"/>
    <col min="2" max="2" width="12.85546875" bestFit="1" customWidth="1"/>
    <col min="3" max="3" width="12" customWidth="1"/>
    <col min="6" max="6" width="7.28515625" bestFit="1" customWidth="1"/>
    <col min="7" max="7" width="8.7109375" bestFit="1" customWidth="1"/>
  </cols>
  <sheetData>
    <row r="1" spans="1:7" ht="15" x14ac:dyDescent="0.25">
      <c r="A1" s="28" t="s">
        <v>348</v>
      </c>
      <c r="B1" s="28" t="s">
        <v>349</v>
      </c>
      <c r="C1" s="28" t="s">
        <v>350</v>
      </c>
      <c r="F1" s="28" t="s">
        <v>351</v>
      </c>
      <c r="G1" s="28" t="s">
        <v>352</v>
      </c>
    </row>
    <row r="2" spans="1:7" x14ac:dyDescent="0.2">
      <c r="A2" t="s">
        <v>353</v>
      </c>
      <c r="B2" s="24">
        <v>120000</v>
      </c>
      <c r="C2" t="str">
        <f>IFERROR(VLOOKUP(B2,F:G,2,1),"Tanımlı Değil")</f>
        <v>Başarısız</v>
      </c>
      <c r="F2">
        <v>100000</v>
      </c>
      <c r="G2" t="s">
        <v>354</v>
      </c>
    </row>
    <row r="3" spans="1:7" x14ac:dyDescent="0.2">
      <c r="A3" t="s">
        <v>355</v>
      </c>
      <c r="B3" s="24">
        <v>89000</v>
      </c>
      <c r="C3" t="str">
        <f t="shared" ref="C3:C11" si="0">IFERROR(VLOOKUP(B3,F:G,2,1),"Tanımlı Değil")</f>
        <v>Tanımlı Değil</v>
      </c>
      <c r="F3">
        <v>150000</v>
      </c>
      <c r="G3" t="s">
        <v>356</v>
      </c>
    </row>
    <row r="4" spans="1:7" x14ac:dyDescent="0.2">
      <c r="A4" t="s">
        <v>357</v>
      </c>
      <c r="B4" s="24">
        <v>136000</v>
      </c>
      <c r="C4" t="str">
        <f t="shared" si="0"/>
        <v>Başarısız</v>
      </c>
      <c r="F4">
        <v>200000</v>
      </c>
      <c r="G4" t="s">
        <v>358</v>
      </c>
    </row>
    <row r="5" spans="1:7" x14ac:dyDescent="0.2">
      <c r="A5" t="s">
        <v>359</v>
      </c>
      <c r="B5" s="24">
        <v>310000</v>
      </c>
      <c r="C5" t="str">
        <f t="shared" si="0"/>
        <v>Harika</v>
      </c>
      <c r="F5">
        <v>250000</v>
      </c>
      <c r="G5" t="s">
        <v>360</v>
      </c>
    </row>
    <row r="6" spans="1:7" x14ac:dyDescent="0.2">
      <c r="A6" t="s">
        <v>361</v>
      </c>
      <c r="B6" s="24">
        <v>111000</v>
      </c>
      <c r="C6" t="str">
        <f t="shared" si="0"/>
        <v>Başarısız</v>
      </c>
      <c r="F6">
        <v>300000</v>
      </c>
      <c r="G6" t="s">
        <v>362</v>
      </c>
    </row>
    <row r="7" spans="1:7" x14ac:dyDescent="0.2">
      <c r="A7" t="s">
        <v>363</v>
      </c>
      <c r="B7" s="24">
        <v>260000</v>
      </c>
      <c r="C7" t="str">
        <f t="shared" si="0"/>
        <v>İyi</v>
      </c>
    </row>
    <row r="8" spans="1:7" x14ac:dyDescent="0.2">
      <c r="A8" t="s">
        <v>364</v>
      </c>
      <c r="B8" s="24">
        <v>198000</v>
      </c>
      <c r="C8" t="str">
        <f t="shared" si="0"/>
        <v>Vasat</v>
      </c>
    </row>
    <row r="9" spans="1:7" x14ac:dyDescent="0.2">
      <c r="A9" t="s">
        <v>365</v>
      </c>
      <c r="B9" s="24">
        <v>145000</v>
      </c>
      <c r="C9" t="str">
        <f t="shared" si="0"/>
        <v>Başarısız</v>
      </c>
    </row>
    <row r="10" spans="1:7" x14ac:dyDescent="0.2">
      <c r="A10" t="s">
        <v>366</v>
      </c>
      <c r="B10" s="24">
        <v>167000</v>
      </c>
      <c r="C10" t="str">
        <f t="shared" si="0"/>
        <v>Vasat</v>
      </c>
    </row>
    <row r="11" spans="1:7" x14ac:dyDescent="0.2">
      <c r="A11" t="s">
        <v>367</v>
      </c>
      <c r="B11" s="24">
        <v>104000</v>
      </c>
      <c r="C11" t="str">
        <f t="shared" si="0"/>
        <v>Başarısız</v>
      </c>
    </row>
  </sheetData>
  <sortState ref="F2:G6">
    <sortCondition ref="F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Liste</vt:lpstr>
      <vt:lpstr>KAYITLAR</vt:lpstr>
      <vt:lpstr>SONUÇLAR</vt:lpstr>
      <vt:lpstr>2019</vt:lpstr>
      <vt:lpstr>2020</vt:lpstr>
      <vt:lpstr>Yaklaşık Eşleşme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Muhammet</dc:creator>
  <cp:keywords/>
  <dc:description/>
  <cp:lastModifiedBy>Emre</cp:lastModifiedBy>
  <cp:revision/>
  <dcterms:created xsi:type="dcterms:W3CDTF">2007-02-17T07:34:06Z</dcterms:created>
  <dcterms:modified xsi:type="dcterms:W3CDTF">2026-02-25T23:20:24Z</dcterms:modified>
  <cp:category/>
  <cp:contentStatus/>
</cp:coreProperties>
</file>