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Conditional Calculation\"/>
    </mc:Choice>
  </mc:AlternateContent>
  <bookViews>
    <workbookView xWindow="0" yWindow="0" windowWidth="20490" windowHeight="7635"/>
  </bookViews>
  <sheets>
    <sheet name="Veriler" sheetId="1" r:id="rId1"/>
  </sheets>
  <definedNames>
    <definedName name="_xlnm._FilterDatabase" localSheetId="0" hidden="1">Veriler!$A$1:$F$130</definedName>
    <definedName name="_xlnm.Criteria" localSheetId="0">Veriler!#REF!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4" i="1" l="1"/>
  <c r="I12" i="1"/>
  <c r="F112" i="1" l="1"/>
  <c r="F111" i="1"/>
  <c r="F110" i="1"/>
  <c r="F109" i="1"/>
  <c r="F130" i="1"/>
  <c r="F129" i="1"/>
  <c r="F128" i="1"/>
  <c r="F127" i="1"/>
  <c r="F126" i="1"/>
  <c r="F125" i="1"/>
  <c r="F124" i="1"/>
  <c r="F123" i="1"/>
  <c r="F122" i="1"/>
  <c r="F121" i="1"/>
  <c r="F120" i="1"/>
  <c r="F56" i="1"/>
  <c r="F55" i="1"/>
  <c r="F54" i="1"/>
  <c r="F108" i="1"/>
  <c r="F107" i="1"/>
  <c r="F106" i="1"/>
  <c r="F27" i="1"/>
  <c r="F26" i="1"/>
  <c r="F25" i="1"/>
  <c r="F24" i="1"/>
  <c r="F53" i="1"/>
  <c r="F52" i="1"/>
  <c r="F51" i="1"/>
  <c r="F50" i="1"/>
  <c r="F119" i="1"/>
  <c r="F49" i="1"/>
  <c r="F48" i="1"/>
  <c r="F47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105" i="1"/>
  <c r="F86" i="1"/>
  <c r="F85" i="1"/>
  <c r="F84" i="1"/>
  <c r="F90" i="1"/>
  <c r="F89" i="1"/>
  <c r="F88" i="1"/>
  <c r="F87" i="1"/>
  <c r="F23" i="1"/>
  <c r="F22" i="1"/>
  <c r="F21" i="1"/>
  <c r="F46" i="1"/>
  <c r="F45" i="1"/>
  <c r="F44" i="1"/>
  <c r="F43" i="1"/>
  <c r="F70" i="1"/>
  <c r="F69" i="1"/>
  <c r="F68" i="1"/>
  <c r="F118" i="1"/>
  <c r="F42" i="1"/>
  <c r="F41" i="1"/>
  <c r="F40" i="1"/>
  <c r="F83" i="1"/>
  <c r="F82" i="1"/>
  <c r="F81" i="1"/>
  <c r="F80" i="1"/>
  <c r="F79" i="1"/>
  <c r="F78" i="1"/>
  <c r="F77" i="1"/>
  <c r="F76" i="1"/>
  <c r="F20" i="1"/>
  <c r="F19" i="1"/>
  <c r="F18" i="1"/>
  <c r="F17" i="1"/>
  <c r="F39" i="1"/>
  <c r="F38" i="1"/>
  <c r="F37" i="1"/>
  <c r="F36" i="1"/>
  <c r="F35" i="1"/>
  <c r="F34" i="1"/>
  <c r="F33" i="1"/>
  <c r="F32" i="1"/>
  <c r="F16" i="1"/>
  <c r="F15" i="1"/>
  <c r="F14" i="1"/>
  <c r="F67" i="1"/>
  <c r="F66" i="1"/>
  <c r="F65" i="1"/>
  <c r="F117" i="1"/>
  <c r="F116" i="1"/>
  <c r="F115" i="1"/>
  <c r="F114" i="1"/>
  <c r="F13" i="1"/>
  <c r="F12" i="1"/>
  <c r="F11" i="1"/>
  <c r="F10" i="1"/>
  <c r="F75" i="1"/>
  <c r="F74" i="1"/>
  <c r="F73" i="1"/>
  <c r="F72" i="1"/>
  <c r="F71" i="1"/>
  <c r="I10" i="1" s="1"/>
  <c r="F9" i="1"/>
  <c r="F8" i="1"/>
  <c r="F7" i="1"/>
  <c r="F6" i="1"/>
  <c r="F64" i="1"/>
  <c r="F63" i="1"/>
  <c r="F62" i="1"/>
  <c r="F61" i="1"/>
  <c r="F5" i="1"/>
  <c r="F4" i="1"/>
  <c r="F3" i="1"/>
  <c r="F2" i="1"/>
  <c r="F60" i="1"/>
  <c r="F59" i="1"/>
  <c r="F58" i="1"/>
  <c r="F57" i="1"/>
  <c r="F113" i="1"/>
  <c r="F31" i="1"/>
  <c r="F30" i="1"/>
  <c r="F29" i="1"/>
  <c r="F28" i="1"/>
  <c r="I8" i="1" l="1"/>
  <c r="I2" i="1"/>
</calcChain>
</file>

<file path=xl/sharedStrings.xml><?xml version="1.0" encoding="utf-8"?>
<sst xmlns="http://schemas.openxmlformats.org/spreadsheetml/2006/main" count="401" uniqueCount="37">
  <si>
    <t>ÜRÜN ADI</t>
  </si>
  <si>
    <t>MARKA</t>
  </si>
  <si>
    <t>BÖLGE</t>
  </si>
  <si>
    <t>ADET</t>
  </si>
  <si>
    <t>MOUSE</t>
  </si>
  <si>
    <t>MICROSOFT</t>
  </si>
  <si>
    <t>ADANA</t>
  </si>
  <si>
    <t>CD-ROM</t>
  </si>
  <si>
    <t>CREATIVE</t>
  </si>
  <si>
    <t>MONITOR</t>
  </si>
  <si>
    <t>IBM</t>
  </si>
  <si>
    <t>PRINTER</t>
  </si>
  <si>
    <t>CANON</t>
  </si>
  <si>
    <t>ANKARA</t>
  </si>
  <si>
    <t>PACKARD BELL</t>
  </si>
  <si>
    <t>HP</t>
  </si>
  <si>
    <t>COMPUTER</t>
  </si>
  <si>
    <t>STAR</t>
  </si>
  <si>
    <t>ANTALYA</t>
  </si>
  <si>
    <t>DIGITAL</t>
  </si>
  <si>
    <t>LOGITECH</t>
  </si>
  <si>
    <t>BURSA</t>
  </si>
  <si>
    <t>TATUNG</t>
  </si>
  <si>
    <t>ESKİŞEHİR</t>
  </si>
  <si>
    <t>İSTANBUL</t>
  </si>
  <si>
    <t>ESCORT</t>
  </si>
  <si>
    <t>İZMİR</t>
  </si>
  <si>
    <t>SAMSUN</t>
  </si>
  <si>
    <t>FİYAT</t>
  </si>
  <si>
    <t>Toplam</t>
  </si>
  <si>
    <t>ETOPLA</t>
  </si>
  <si>
    <t>EĞERORTALAMA</t>
  </si>
  <si>
    <t>EĞERSAY</t>
  </si>
  <si>
    <t>Adana'nın Toplamı</t>
  </si>
  <si>
    <t>Markası HP Toplamı</t>
  </si>
  <si>
    <t>Ürün Adı: Computer</t>
  </si>
  <si>
    <t>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</si>
</sst>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₺-41F]_-;\-* #,##0.00\ [$₺-41F]_-;_-* &quot;-&quot;??\ [$₺-41F]_-;_-@_-"/>
  </numFmts>
  <fonts count="3" x14ac:knownFonts="1">
    <font>
      <sz val="10"/>
      <name val="Arial Tur"/>
      <charset val="162"/>
    </font>
    <font>
      <b/>
      <sz val="10"/>
      <color indexed="9"/>
      <name val="Tahoma"/>
      <family val="2"/>
      <charset val="162"/>
    </font>
    <font>
      <sz val="10"/>
      <color theme="1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164" fontId="2" fillId="0" borderId="1" xfId="0" applyNumberFormat="1" applyFont="1" applyFill="1" applyBorder="1"/>
    <xf numFmtId="0" fontId="1" fillId="2" borderId="0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J130"/>
  <sheetViews>
    <sheetView tabSelected="1" zoomScale="85" zoomScaleNormal="85" workbookViewId="0">
      <selection activeCell="I15" sqref="I15"/>
    </sheetView>
  </sheetViews>
  <sheetFormatPr defaultColWidth="9.140625" defaultRowHeight="12.75" x14ac:dyDescent="0.2"/>
  <cols>
    <col min="1" max="1" width="15.42578125" style="1" customWidth="1"/>
    <col min="2" max="2" width="16.42578125" style="1" customWidth="1"/>
    <col min="3" max="3" width="11.7109375" style="1" customWidth="1"/>
    <col min="4" max="4" width="11.85546875" style="1" customWidth="1"/>
    <col min="5" max="5" width="14.140625" style="1" customWidth="1"/>
    <col min="6" max="6" width="13.28515625" style="1" bestFit="1" customWidth="1"/>
    <col min="7" max="7" width="13.28515625" customWidth="1"/>
    <col min="8" max="8" width="18" bestFit="1" customWidth="1"/>
    <col min="9" max="9" width="17.85546875" customWidth="1"/>
    <col min="10" max="10" width="13.28515625" customWidth="1"/>
    <col min="11" max="16384" width="9.140625" style="1"/>
  </cols>
  <sheetData>
    <row r="1" spans="1: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28</v>
      </c>
      <c r="F1" s="5" t="s">
        <v>29</v>
      </c>
    </row>
    <row r="2" spans="1:9" x14ac:dyDescent="0.2">
      <c r="A2" s="2" t="s">
        <v>11</v>
      </c>
      <c r="B2" s="2" t="s">
        <v>12</v>
      </c>
      <c r="C2" s="2" t="s">
        <v>13</v>
      </c>
      <c r="D2" s="3">
        <v>20</v>
      </c>
      <c r="E2" s="4">
        <v>450</v>
      </c>
      <c r="F2" s="4">
        <f>D2*E2</f>
        <v>9000</v>
      </c>
      <c r="H2" t="s">
        <v>29</v>
      </c>
      <c r="I2" s="6">
        <f>SUM(F2:F130)</f>
        <v>2926125</v>
      </c>
    </row>
    <row r="3" spans="1:9" x14ac:dyDescent="0.2">
      <c r="A3" s="2" t="s">
        <v>11</v>
      </c>
      <c r="B3" s="2" t="s">
        <v>12</v>
      </c>
      <c r="C3" s="2" t="s">
        <v>13</v>
      </c>
      <c r="D3" s="3">
        <v>20</v>
      </c>
      <c r="E3" s="4">
        <v>450</v>
      </c>
      <c r="F3" s="4">
        <f>D3*E3</f>
        <v>9000</v>
      </c>
    </row>
    <row r="4" spans="1:9" x14ac:dyDescent="0.2">
      <c r="A4" s="2" t="s">
        <v>11</v>
      </c>
      <c r="B4" s="2" t="s">
        <v>12</v>
      </c>
      <c r="C4" s="2" t="s">
        <v>13</v>
      </c>
      <c r="D4" s="3">
        <v>20</v>
      </c>
      <c r="E4" s="4">
        <v>450</v>
      </c>
      <c r="F4" s="4">
        <f>D4*E4</f>
        <v>9000</v>
      </c>
      <c r="H4" t="s">
        <v>30</v>
      </c>
    </row>
    <row r="5" spans="1:9" x14ac:dyDescent="0.2">
      <c r="A5" s="2" t="s">
        <v>11</v>
      </c>
      <c r="B5" s="2" t="s">
        <v>12</v>
      </c>
      <c r="C5" s="2" t="s">
        <v>13</v>
      </c>
      <c r="D5" s="3">
        <v>20</v>
      </c>
      <c r="E5" s="4">
        <v>450</v>
      </c>
      <c r="F5" s="4">
        <f>D5*E5</f>
        <v>9000</v>
      </c>
      <c r="H5" t="s">
        <v>31</v>
      </c>
    </row>
    <row r="6" spans="1:9" x14ac:dyDescent="0.2">
      <c r="A6" s="2" t="s">
        <v>11</v>
      </c>
      <c r="B6" s="2" t="s">
        <v>15</v>
      </c>
      <c r="C6" s="2" t="s">
        <v>13</v>
      </c>
      <c r="D6" s="3">
        <v>15</v>
      </c>
      <c r="E6" s="4">
        <v>750</v>
      </c>
      <c r="F6" s="4">
        <f>D6*E6</f>
        <v>11250</v>
      </c>
      <c r="H6" t="s">
        <v>32</v>
      </c>
    </row>
    <row r="7" spans="1:9" x14ac:dyDescent="0.2">
      <c r="A7" s="2" t="s">
        <v>11</v>
      </c>
      <c r="B7" s="2" t="s">
        <v>15</v>
      </c>
      <c r="C7" s="2" t="s">
        <v>13</v>
      </c>
      <c r="D7" s="3">
        <v>15</v>
      </c>
      <c r="E7" s="4">
        <v>750</v>
      </c>
      <c r="F7" s="4">
        <f>D7*E7</f>
        <v>11250</v>
      </c>
    </row>
    <row r="8" spans="1:9" x14ac:dyDescent="0.2">
      <c r="A8" s="2" t="s">
        <v>11</v>
      </c>
      <c r="B8" s="2" t="s">
        <v>15</v>
      </c>
      <c r="C8" s="2" t="s">
        <v>13</v>
      </c>
      <c r="D8" s="3">
        <v>15</v>
      </c>
      <c r="E8" s="4">
        <v>750</v>
      </c>
      <c r="F8" s="4">
        <f>D8*E8</f>
        <v>11250</v>
      </c>
      <c r="H8" t="s">
        <v>33</v>
      </c>
      <c r="I8">
        <f>SUBTOTAL(9,F2:F10)</f>
        <v>86950</v>
      </c>
    </row>
    <row r="9" spans="1:9" x14ac:dyDescent="0.2">
      <c r="A9" s="2" t="s">
        <v>11</v>
      </c>
      <c r="B9" s="2" t="s">
        <v>15</v>
      </c>
      <c r="C9" s="2" t="s">
        <v>13</v>
      </c>
      <c r="D9" s="3">
        <v>15</v>
      </c>
      <c r="E9" s="4">
        <v>750</v>
      </c>
      <c r="F9" s="4">
        <f>D9*E9</f>
        <v>11250</v>
      </c>
    </row>
    <row r="10" spans="1:9" x14ac:dyDescent="0.2">
      <c r="A10" s="2" t="s">
        <v>11</v>
      </c>
      <c r="B10" s="2" t="s">
        <v>17</v>
      </c>
      <c r="C10" s="2" t="s">
        <v>18</v>
      </c>
      <c r="D10" s="3">
        <v>17</v>
      </c>
      <c r="E10" s="4">
        <v>350</v>
      </c>
      <c r="F10" s="4">
        <f>D10*E10</f>
        <v>5950</v>
      </c>
      <c r="H10" t="s">
        <v>34</v>
      </c>
      <c r="I10">
        <f>SUMIF(B:B,"hp",F:F)</f>
        <v>637000</v>
      </c>
    </row>
    <row r="11" spans="1:9" x14ac:dyDescent="0.2">
      <c r="A11" s="2" t="s">
        <v>11</v>
      </c>
      <c r="B11" s="2" t="s">
        <v>17</v>
      </c>
      <c r="C11" s="2" t="s">
        <v>18</v>
      </c>
      <c r="D11" s="3">
        <v>17</v>
      </c>
      <c r="E11" s="4">
        <v>350</v>
      </c>
      <c r="F11" s="4">
        <f>D11*E11</f>
        <v>5950</v>
      </c>
    </row>
    <row r="12" spans="1:9" x14ac:dyDescent="0.2">
      <c r="A12" s="2" t="s">
        <v>11</v>
      </c>
      <c r="B12" s="2" t="s">
        <v>17</v>
      </c>
      <c r="C12" s="2" t="s">
        <v>18</v>
      </c>
      <c r="D12" s="3">
        <v>17</v>
      </c>
      <c r="E12" s="4">
        <v>350</v>
      </c>
      <c r="F12" s="4">
        <f>D12*E12</f>
        <v>5950</v>
      </c>
      <c r="H12" t="s">
        <v>35</v>
      </c>
      <c r="I12">
        <f>SUMIF(A:A,A20,D:D)</f>
        <v>488</v>
      </c>
    </row>
    <row r="13" spans="1:9" x14ac:dyDescent="0.2">
      <c r="A13" s="2" t="s">
        <v>11</v>
      </c>
      <c r="B13" s="2" t="s">
        <v>17</v>
      </c>
      <c r="C13" s="2" t="s">
        <v>18</v>
      </c>
      <c r="D13" s="3">
        <v>17</v>
      </c>
      <c r="E13" s="4">
        <v>350</v>
      </c>
      <c r="F13" s="4">
        <f>D13*E13</f>
        <v>5950</v>
      </c>
    </row>
    <row r="14" spans="1:9" x14ac:dyDescent="0.2">
      <c r="A14" s="2" t="s">
        <v>11</v>
      </c>
      <c r="B14" s="2" t="s">
        <v>10</v>
      </c>
      <c r="C14" s="2" t="s">
        <v>18</v>
      </c>
      <c r="D14" s="3">
        <v>5</v>
      </c>
      <c r="E14" s="4">
        <v>650</v>
      </c>
      <c r="F14" s="4">
        <f>D14*E14</f>
        <v>3250</v>
      </c>
      <c r="H14" t="s">
        <v>36</v>
      </c>
      <c r="I14">
        <f>SUMIF(A:A,H14,D:D)</f>
        <v>872</v>
      </c>
    </row>
    <row r="15" spans="1:9" x14ac:dyDescent="0.2">
      <c r="A15" s="2" t="s">
        <v>11</v>
      </c>
      <c r="B15" s="2" t="s">
        <v>10</v>
      </c>
      <c r="C15" s="2" t="s">
        <v>18</v>
      </c>
      <c r="D15" s="3">
        <v>5</v>
      </c>
      <c r="E15" s="4">
        <v>650</v>
      </c>
      <c r="F15" s="4">
        <f>D15*E15</f>
        <v>3250</v>
      </c>
    </row>
    <row r="16" spans="1:9" x14ac:dyDescent="0.2">
      <c r="A16" s="2" t="s">
        <v>11</v>
      </c>
      <c r="B16" s="2" t="s">
        <v>10</v>
      </c>
      <c r="C16" s="2" t="s">
        <v>18</v>
      </c>
      <c r="D16" s="3">
        <v>5</v>
      </c>
      <c r="E16" s="4">
        <v>650</v>
      </c>
      <c r="F16" s="4">
        <f>D16*E16</f>
        <v>3250</v>
      </c>
    </row>
    <row r="17" spans="1:6" x14ac:dyDescent="0.2">
      <c r="A17" s="2" t="s">
        <v>11</v>
      </c>
      <c r="B17" s="2" t="s">
        <v>12</v>
      </c>
      <c r="C17" s="2" t="s">
        <v>21</v>
      </c>
      <c r="D17" s="3">
        <v>15</v>
      </c>
      <c r="E17" s="4">
        <v>450</v>
      </c>
      <c r="F17" s="4">
        <f>D17*E17</f>
        <v>6750</v>
      </c>
    </row>
    <row r="18" spans="1:6" x14ac:dyDescent="0.2">
      <c r="A18" s="2" t="s">
        <v>11</v>
      </c>
      <c r="B18" s="2" t="s">
        <v>12</v>
      </c>
      <c r="C18" s="2" t="s">
        <v>21</v>
      </c>
      <c r="D18" s="3">
        <v>15</v>
      </c>
      <c r="E18" s="4">
        <v>450</v>
      </c>
      <c r="F18" s="4">
        <f>D18*E18</f>
        <v>6750</v>
      </c>
    </row>
    <row r="19" spans="1:6" x14ac:dyDescent="0.2">
      <c r="A19" s="2" t="s">
        <v>11</v>
      </c>
      <c r="B19" s="2" t="s">
        <v>12</v>
      </c>
      <c r="C19" s="2" t="s">
        <v>21</v>
      </c>
      <c r="D19" s="3">
        <v>15</v>
      </c>
      <c r="E19" s="4">
        <v>450</v>
      </c>
      <c r="F19" s="4">
        <f>D19*E19</f>
        <v>6750</v>
      </c>
    </row>
    <row r="20" spans="1:6" x14ac:dyDescent="0.2">
      <c r="A20" s="2" t="s">
        <v>11</v>
      </c>
      <c r="B20" s="2" t="s">
        <v>12</v>
      </c>
      <c r="C20" s="2" t="s">
        <v>21</v>
      </c>
      <c r="D20" s="3">
        <v>15</v>
      </c>
      <c r="E20" s="4">
        <v>450</v>
      </c>
      <c r="F20" s="4">
        <f>D20*E20</f>
        <v>6750</v>
      </c>
    </row>
    <row r="21" spans="1:6" x14ac:dyDescent="0.2">
      <c r="A21" s="2" t="s">
        <v>11</v>
      </c>
      <c r="B21" s="2" t="s">
        <v>12</v>
      </c>
      <c r="C21" s="2" t="s">
        <v>24</v>
      </c>
      <c r="D21" s="3">
        <v>15</v>
      </c>
      <c r="E21" s="4">
        <v>350</v>
      </c>
      <c r="F21" s="4">
        <f>D21*E21</f>
        <v>5250</v>
      </c>
    </row>
    <row r="22" spans="1:6" x14ac:dyDescent="0.2">
      <c r="A22" s="2" t="s">
        <v>11</v>
      </c>
      <c r="B22" s="2" t="s">
        <v>12</v>
      </c>
      <c r="C22" s="2" t="s">
        <v>24</v>
      </c>
      <c r="D22" s="3">
        <v>15</v>
      </c>
      <c r="E22" s="4">
        <v>350</v>
      </c>
      <c r="F22" s="4">
        <f>D22*E22</f>
        <v>5250</v>
      </c>
    </row>
    <row r="23" spans="1:6" x14ac:dyDescent="0.2">
      <c r="A23" s="2" t="s">
        <v>11</v>
      </c>
      <c r="B23" s="2" t="s">
        <v>12</v>
      </c>
      <c r="C23" s="2" t="s">
        <v>24</v>
      </c>
      <c r="D23" s="3">
        <v>15</v>
      </c>
      <c r="E23" s="4">
        <v>350</v>
      </c>
      <c r="F23" s="4">
        <f>D23*E23</f>
        <v>5250</v>
      </c>
    </row>
    <row r="24" spans="1:6" x14ac:dyDescent="0.2">
      <c r="A24" s="2" t="s">
        <v>11</v>
      </c>
      <c r="B24" s="2" t="s">
        <v>17</v>
      </c>
      <c r="C24" s="2" t="s">
        <v>26</v>
      </c>
      <c r="D24" s="3">
        <v>40</v>
      </c>
      <c r="E24" s="4">
        <v>400</v>
      </c>
      <c r="F24" s="4">
        <f>D24*E24</f>
        <v>16000</v>
      </c>
    </row>
    <row r="25" spans="1:6" x14ac:dyDescent="0.2">
      <c r="A25" s="2" t="s">
        <v>11</v>
      </c>
      <c r="B25" s="2" t="s">
        <v>17</v>
      </c>
      <c r="C25" s="2" t="s">
        <v>26</v>
      </c>
      <c r="D25" s="3">
        <v>40</v>
      </c>
      <c r="E25" s="4">
        <v>400</v>
      </c>
      <c r="F25" s="4">
        <f>D25*E25</f>
        <v>16000</v>
      </c>
    </row>
    <row r="26" spans="1:6" x14ac:dyDescent="0.2">
      <c r="A26" s="2" t="s">
        <v>11</v>
      </c>
      <c r="B26" s="2" t="s">
        <v>17</v>
      </c>
      <c r="C26" s="2" t="s">
        <v>26</v>
      </c>
      <c r="D26" s="3">
        <v>40</v>
      </c>
      <c r="E26" s="4">
        <v>400</v>
      </c>
      <c r="F26" s="4">
        <f>D26*E26</f>
        <v>16000</v>
      </c>
    </row>
    <row r="27" spans="1:6" x14ac:dyDescent="0.2">
      <c r="A27" s="2" t="s">
        <v>11</v>
      </c>
      <c r="B27" s="2" t="s">
        <v>17</v>
      </c>
      <c r="C27" s="2" t="s">
        <v>26</v>
      </c>
      <c r="D27" s="3">
        <v>40</v>
      </c>
      <c r="E27" s="4">
        <v>400</v>
      </c>
      <c r="F27" s="4">
        <f>D27*E27</f>
        <v>16000</v>
      </c>
    </row>
    <row r="28" spans="1:6" x14ac:dyDescent="0.2">
      <c r="A28" s="2" t="s">
        <v>4</v>
      </c>
      <c r="B28" s="2" t="s">
        <v>5</v>
      </c>
      <c r="C28" s="2" t="s">
        <v>6</v>
      </c>
      <c r="D28" s="3">
        <v>100</v>
      </c>
      <c r="E28" s="4">
        <v>100</v>
      </c>
      <c r="F28" s="4">
        <f>D28*E28</f>
        <v>10000</v>
      </c>
    </row>
    <row r="29" spans="1:6" x14ac:dyDescent="0.2">
      <c r="A29" s="2" t="s">
        <v>4</v>
      </c>
      <c r="B29" s="2" t="s">
        <v>5</v>
      </c>
      <c r="C29" s="2" t="s">
        <v>6</v>
      </c>
      <c r="D29" s="3">
        <v>100</v>
      </c>
      <c r="E29" s="4">
        <v>100</v>
      </c>
      <c r="F29" s="4">
        <f>D29*E29</f>
        <v>10000</v>
      </c>
    </row>
    <row r="30" spans="1:6" x14ac:dyDescent="0.2">
      <c r="A30" s="2" t="s">
        <v>4</v>
      </c>
      <c r="B30" s="2" t="s">
        <v>5</v>
      </c>
      <c r="C30" s="2" t="s">
        <v>6</v>
      </c>
      <c r="D30" s="3">
        <v>100</v>
      </c>
      <c r="E30" s="4">
        <v>100</v>
      </c>
      <c r="F30" s="4">
        <f>D30*E30</f>
        <v>10000</v>
      </c>
    </row>
    <row r="31" spans="1:6" x14ac:dyDescent="0.2">
      <c r="A31" s="2" t="s">
        <v>4</v>
      </c>
      <c r="B31" s="2" t="s">
        <v>5</v>
      </c>
      <c r="C31" s="2" t="s">
        <v>6</v>
      </c>
      <c r="D31" s="3">
        <v>100</v>
      </c>
      <c r="E31" s="4">
        <v>100</v>
      </c>
      <c r="F31" s="4">
        <f>D31*E31</f>
        <v>10000</v>
      </c>
    </row>
    <row r="32" spans="1:6" x14ac:dyDescent="0.2">
      <c r="A32" s="2" t="s">
        <v>4</v>
      </c>
      <c r="B32" s="2" t="s">
        <v>20</v>
      </c>
      <c r="C32" s="2" t="s">
        <v>21</v>
      </c>
      <c r="D32" s="3">
        <v>50</v>
      </c>
      <c r="E32" s="4">
        <v>150</v>
      </c>
      <c r="F32" s="4">
        <f>D32*E32</f>
        <v>7500</v>
      </c>
    </row>
    <row r="33" spans="1:6" x14ac:dyDescent="0.2">
      <c r="A33" s="2" t="s">
        <v>4</v>
      </c>
      <c r="B33" s="2" t="s">
        <v>20</v>
      </c>
      <c r="C33" s="2" t="s">
        <v>21</v>
      </c>
      <c r="D33" s="3">
        <v>50</v>
      </c>
      <c r="E33" s="4">
        <v>150</v>
      </c>
      <c r="F33" s="4">
        <f>D33*E33</f>
        <v>7500</v>
      </c>
    </row>
    <row r="34" spans="1:6" x14ac:dyDescent="0.2">
      <c r="A34" s="2" t="s">
        <v>4</v>
      </c>
      <c r="B34" s="2" t="s">
        <v>20</v>
      </c>
      <c r="C34" s="2" t="s">
        <v>21</v>
      </c>
      <c r="D34" s="3">
        <v>50</v>
      </c>
      <c r="E34" s="4">
        <v>150</v>
      </c>
      <c r="F34" s="4">
        <f>D34*E34</f>
        <v>7500</v>
      </c>
    </row>
    <row r="35" spans="1:6" x14ac:dyDescent="0.2">
      <c r="A35" s="2" t="s">
        <v>4</v>
      </c>
      <c r="B35" s="2" t="s">
        <v>20</v>
      </c>
      <c r="C35" s="2" t="s">
        <v>21</v>
      </c>
      <c r="D35" s="3">
        <v>50</v>
      </c>
      <c r="E35" s="4">
        <v>150</v>
      </c>
      <c r="F35" s="4">
        <f>D35*E35</f>
        <v>7500</v>
      </c>
    </row>
    <row r="36" spans="1:6" x14ac:dyDescent="0.2">
      <c r="A36" s="2" t="s">
        <v>4</v>
      </c>
      <c r="B36" s="2" t="s">
        <v>5</v>
      </c>
      <c r="C36" s="2" t="s">
        <v>21</v>
      </c>
      <c r="D36" s="3">
        <v>100</v>
      </c>
      <c r="E36" s="4">
        <v>250</v>
      </c>
      <c r="F36" s="4">
        <f>D36*E36</f>
        <v>25000</v>
      </c>
    </row>
    <row r="37" spans="1:6" x14ac:dyDescent="0.2">
      <c r="A37" s="2" t="s">
        <v>4</v>
      </c>
      <c r="B37" s="2" t="s">
        <v>5</v>
      </c>
      <c r="C37" s="2" t="s">
        <v>21</v>
      </c>
      <c r="D37" s="3">
        <v>100</v>
      </c>
      <c r="E37" s="4">
        <v>250</v>
      </c>
      <c r="F37" s="4">
        <f>D37*E37</f>
        <v>25000</v>
      </c>
    </row>
    <row r="38" spans="1:6" x14ac:dyDescent="0.2">
      <c r="A38" s="2" t="s">
        <v>4</v>
      </c>
      <c r="B38" s="2" t="s">
        <v>5</v>
      </c>
      <c r="C38" s="2" t="s">
        <v>21</v>
      </c>
      <c r="D38" s="3">
        <v>100</v>
      </c>
      <c r="E38" s="4">
        <v>250</v>
      </c>
      <c r="F38" s="4">
        <f>D38*E38</f>
        <v>25000</v>
      </c>
    </row>
    <row r="39" spans="1:6" x14ac:dyDescent="0.2">
      <c r="A39" s="2" t="s">
        <v>4</v>
      </c>
      <c r="B39" s="2" t="s">
        <v>5</v>
      </c>
      <c r="C39" s="2" t="s">
        <v>21</v>
      </c>
      <c r="D39" s="3">
        <v>100</v>
      </c>
      <c r="E39" s="4">
        <v>250</v>
      </c>
      <c r="F39" s="4">
        <f>D39*E39</f>
        <v>25000</v>
      </c>
    </row>
    <row r="40" spans="1:6" x14ac:dyDescent="0.2">
      <c r="A40" s="2" t="s">
        <v>4</v>
      </c>
      <c r="B40" s="2" t="s">
        <v>20</v>
      </c>
      <c r="C40" s="2" t="s">
        <v>23</v>
      </c>
      <c r="D40" s="3">
        <v>45</v>
      </c>
      <c r="E40" s="4">
        <v>85</v>
      </c>
      <c r="F40" s="4">
        <f>D40*E40</f>
        <v>3825</v>
      </c>
    </row>
    <row r="41" spans="1:6" x14ac:dyDescent="0.2">
      <c r="A41" s="2" t="s">
        <v>4</v>
      </c>
      <c r="B41" s="2" t="s">
        <v>20</v>
      </c>
      <c r="C41" s="2" t="s">
        <v>23</v>
      </c>
      <c r="D41" s="3">
        <v>45</v>
      </c>
      <c r="E41" s="4">
        <v>85</v>
      </c>
      <c r="F41" s="4">
        <f>D41*E41</f>
        <v>3825</v>
      </c>
    </row>
    <row r="42" spans="1:6" x14ac:dyDescent="0.2">
      <c r="A42" s="2" t="s">
        <v>4</v>
      </c>
      <c r="B42" s="2" t="s">
        <v>20</v>
      </c>
      <c r="C42" s="2" t="s">
        <v>23</v>
      </c>
      <c r="D42" s="3">
        <v>45</v>
      </c>
      <c r="E42" s="4">
        <v>85</v>
      </c>
      <c r="F42" s="4">
        <f>D42*E42</f>
        <v>3825</v>
      </c>
    </row>
    <row r="43" spans="1:6" x14ac:dyDescent="0.2">
      <c r="A43" s="2" t="s">
        <v>4</v>
      </c>
      <c r="B43" s="2" t="s">
        <v>20</v>
      </c>
      <c r="C43" s="2" t="s">
        <v>24</v>
      </c>
      <c r="D43" s="3">
        <v>20</v>
      </c>
      <c r="E43" s="4">
        <v>150</v>
      </c>
      <c r="F43" s="4">
        <f>D43*E43</f>
        <v>3000</v>
      </c>
    </row>
    <row r="44" spans="1:6" x14ac:dyDescent="0.2">
      <c r="A44" s="2" t="s">
        <v>4</v>
      </c>
      <c r="B44" s="2" t="s">
        <v>20</v>
      </c>
      <c r="C44" s="2" t="s">
        <v>24</v>
      </c>
      <c r="D44" s="3">
        <v>20</v>
      </c>
      <c r="E44" s="4">
        <v>150</v>
      </c>
      <c r="F44" s="4">
        <f>D44*E44</f>
        <v>3000</v>
      </c>
    </row>
    <row r="45" spans="1:6" x14ac:dyDescent="0.2">
      <c r="A45" s="2" t="s">
        <v>4</v>
      </c>
      <c r="B45" s="2" t="s">
        <v>20</v>
      </c>
      <c r="C45" s="2" t="s">
        <v>24</v>
      </c>
      <c r="D45" s="3">
        <v>20</v>
      </c>
      <c r="E45" s="4">
        <v>150</v>
      </c>
      <c r="F45" s="4">
        <f>D45*E45</f>
        <v>3000</v>
      </c>
    </row>
    <row r="46" spans="1:6" x14ac:dyDescent="0.2">
      <c r="A46" s="2" t="s">
        <v>4</v>
      </c>
      <c r="B46" s="2" t="s">
        <v>10</v>
      </c>
      <c r="C46" s="2" t="s">
        <v>24</v>
      </c>
      <c r="D46" s="3">
        <v>12</v>
      </c>
      <c r="E46" s="4">
        <v>250</v>
      </c>
      <c r="F46" s="4">
        <f>D46*E46</f>
        <v>3000</v>
      </c>
    </row>
    <row r="47" spans="1:6" x14ac:dyDescent="0.2">
      <c r="A47" s="2" t="s">
        <v>4</v>
      </c>
      <c r="B47" s="2" t="s">
        <v>5</v>
      </c>
      <c r="C47" s="2" t="s">
        <v>26</v>
      </c>
      <c r="D47" s="3">
        <v>50</v>
      </c>
      <c r="E47" s="4">
        <v>200</v>
      </c>
      <c r="F47" s="4">
        <f>D47*E47</f>
        <v>10000</v>
      </c>
    </row>
    <row r="48" spans="1:6" x14ac:dyDescent="0.2">
      <c r="A48" s="2" t="s">
        <v>4</v>
      </c>
      <c r="B48" s="2" t="s">
        <v>5</v>
      </c>
      <c r="C48" s="2" t="s">
        <v>26</v>
      </c>
      <c r="D48" s="3">
        <v>50</v>
      </c>
      <c r="E48" s="4">
        <v>200</v>
      </c>
      <c r="F48" s="4">
        <f>D48*E48</f>
        <v>10000</v>
      </c>
    </row>
    <row r="49" spans="1:6" x14ac:dyDescent="0.2">
      <c r="A49" s="2" t="s">
        <v>4</v>
      </c>
      <c r="B49" s="2" t="s">
        <v>5</v>
      </c>
      <c r="C49" s="2" t="s">
        <v>26</v>
      </c>
      <c r="D49" s="3">
        <v>50</v>
      </c>
      <c r="E49" s="4">
        <v>200</v>
      </c>
      <c r="F49" s="4">
        <f>D49*E49</f>
        <v>10000</v>
      </c>
    </row>
    <row r="50" spans="1:6" x14ac:dyDescent="0.2">
      <c r="A50" s="2" t="s">
        <v>4</v>
      </c>
      <c r="B50" s="2" t="s">
        <v>5</v>
      </c>
      <c r="C50" s="2" t="s">
        <v>26</v>
      </c>
      <c r="D50" s="3">
        <v>25</v>
      </c>
      <c r="E50" s="4">
        <v>350</v>
      </c>
      <c r="F50" s="4">
        <f>D50*E50</f>
        <v>8750</v>
      </c>
    </row>
    <row r="51" spans="1:6" x14ac:dyDescent="0.2">
      <c r="A51" s="2" t="s">
        <v>4</v>
      </c>
      <c r="B51" s="2" t="s">
        <v>5</v>
      </c>
      <c r="C51" s="2" t="s">
        <v>26</v>
      </c>
      <c r="D51" s="3">
        <v>25</v>
      </c>
      <c r="E51" s="4">
        <v>350</v>
      </c>
      <c r="F51" s="4">
        <f>D51*E51</f>
        <v>8750</v>
      </c>
    </row>
    <row r="52" spans="1:6" x14ac:dyDescent="0.2">
      <c r="A52" s="2" t="s">
        <v>4</v>
      </c>
      <c r="B52" s="2" t="s">
        <v>5</v>
      </c>
      <c r="C52" s="2" t="s">
        <v>26</v>
      </c>
      <c r="D52" s="3">
        <v>25</v>
      </c>
      <c r="E52" s="4">
        <v>350</v>
      </c>
      <c r="F52" s="4">
        <f>D52*E52</f>
        <v>8750</v>
      </c>
    </row>
    <row r="53" spans="1:6" x14ac:dyDescent="0.2">
      <c r="A53" s="2" t="s">
        <v>4</v>
      </c>
      <c r="B53" s="2" t="s">
        <v>5</v>
      </c>
      <c r="C53" s="2" t="s">
        <v>26</v>
      </c>
      <c r="D53" s="3">
        <v>25</v>
      </c>
      <c r="E53" s="4">
        <v>350</v>
      </c>
      <c r="F53" s="4">
        <f>D53*E53</f>
        <v>8750</v>
      </c>
    </row>
    <row r="54" spans="1:6" x14ac:dyDescent="0.2">
      <c r="A54" s="2" t="s">
        <v>4</v>
      </c>
      <c r="B54" s="2" t="s">
        <v>20</v>
      </c>
      <c r="C54" s="2" t="s">
        <v>27</v>
      </c>
      <c r="D54" s="3">
        <v>23</v>
      </c>
      <c r="E54" s="4">
        <v>100</v>
      </c>
      <c r="F54" s="4">
        <f>D54*E54</f>
        <v>2300</v>
      </c>
    </row>
    <row r="55" spans="1:6" x14ac:dyDescent="0.2">
      <c r="A55" s="2" t="s">
        <v>4</v>
      </c>
      <c r="B55" s="2" t="s">
        <v>20</v>
      </c>
      <c r="C55" s="2" t="s">
        <v>27</v>
      </c>
      <c r="D55" s="3">
        <v>23</v>
      </c>
      <c r="E55" s="4">
        <v>100</v>
      </c>
      <c r="F55" s="4">
        <f>D55*E55</f>
        <v>2300</v>
      </c>
    </row>
    <row r="56" spans="1:6" x14ac:dyDescent="0.2">
      <c r="A56" s="2" t="s">
        <v>4</v>
      </c>
      <c r="B56" s="2" t="s">
        <v>20</v>
      </c>
      <c r="C56" s="2" t="s">
        <v>27</v>
      </c>
      <c r="D56" s="3">
        <v>23</v>
      </c>
      <c r="E56" s="4">
        <v>100</v>
      </c>
      <c r="F56" s="4">
        <f>D56*E56</f>
        <v>2300</v>
      </c>
    </row>
    <row r="57" spans="1:6" x14ac:dyDescent="0.2">
      <c r="A57" s="2" t="s">
        <v>9</v>
      </c>
      <c r="B57" s="2" t="s">
        <v>10</v>
      </c>
      <c r="C57" s="2" t="s">
        <v>6</v>
      </c>
      <c r="D57" s="3">
        <v>15</v>
      </c>
      <c r="E57" s="4">
        <v>1000</v>
      </c>
      <c r="F57" s="4">
        <f>D57*E57</f>
        <v>15000</v>
      </c>
    </row>
    <row r="58" spans="1:6" x14ac:dyDescent="0.2">
      <c r="A58" s="2" t="s">
        <v>9</v>
      </c>
      <c r="B58" s="2" t="s">
        <v>10</v>
      </c>
      <c r="C58" s="2" t="s">
        <v>6</v>
      </c>
      <c r="D58" s="3">
        <v>15</v>
      </c>
      <c r="E58" s="4">
        <v>1000</v>
      </c>
      <c r="F58" s="4">
        <f>D58*E58</f>
        <v>15000</v>
      </c>
    </row>
    <row r="59" spans="1:6" x14ac:dyDescent="0.2">
      <c r="A59" s="2" t="s">
        <v>9</v>
      </c>
      <c r="B59" s="2" t="s">
        <v>10</v>
      </c>
      <c r="C59" s="2" t="s">
        <v>6</v>
      </c>
      <c r="D59" s="3">
        <v>15</v>
      </c>
      <c r="E59" s="4">
        <v>1000</v>
      </c>
      <c r="F59" s="4">
        <f>D59*E59</f>
        <v>15000</v>
      </c>
    </row>
    <row r="60" spans="1:6" x14ac:dyDescent="0.2">
      <c r="A60" s="2" t="s">
        <v>9</v>
      </c>
      <c r="B60" s="2" t="s">
        <v>10</v>
      </c>
      <c r="C60" s="2" t="s">
        <v>6</v>
      </c>
      <c r="D60" s="3">
        <v>15</v>
      </c>
      <c r="E60" s="4">
        <v>1000</v>
      </c>
      <c r="F60" s="4">
        <f>D60*E60</f>
        <v>15000</v>
      </c>
    </row>
    <row r="61" spans="1:6" x14ac:dyDescent="0.2">
      <c r="A61" s="2" t="s">
        <v>9</v>
      </c>
      <c r="B61" s="2" t="s">
        <v>14</v>
      </c>
      <c r="C61" s="2" t="s">
        <v>13</v>
      </c>
      <c r="D61" s="3">
        <v>10</v>
      </c>
      <c r="E61" s="4">
        <v>650</v>
      </c>
      <c r="F61" s="4">
        <f>D61*E61</f>
        <v>6500</v>
      </c>
    </row>
    <row r="62" spans="1:6" x14ac:dyDescent="0.2">
      <c r="A62" s="2" t="s">
        <v>9</v>
      </c>
      <c r="B62" s="2" t="s">
        <v>14</v>
      </c>
      <c r="C62" s="2" t="s">
        <v>13</v>
      </c>
      <c r="D62" s="3">
        <v>10</v>
      </c>
      <c r="E62" s="4">
        <v>650</v>
      </c>
      <c r="F62" s="4">
        <f>D62*E62</f>
        <v>6500</v>
      </c>
    </row>
    <row r="63" spans="1:6" x14ac:dyDescent="0.2">
      <c r="A63" s="2" t="s">
        <v>9</v>
      </c>
      <c r="B63" s="2" t="s">
        <v>14</v>
      </c>
      <c r="C63" s="2" t="s">
        <v>13</v>
      </c>
      <c r="D63" s="3">
        <v>10</v>
      </c>
      <c r="E63" s="4">
        <v>650</v>
      </c>
      <c r="F63" s="4">
        <f>D63*E63</f>
        <v>6500</v>
      </c>
    </row>
    <row r="64" spans="1:6" x14ac:dyDescent="0.2">
      <c r="A64" s="2" t="s">
        <v>9</v>
      </c>
      <c r="B64" s="2" t="s">
        <v>14</v>
      </c>
      <c r="C64" s="2" t="s">
        <v>13</v>
      </c>
      <c r="D64" s="3">
        <v>10</v>
      </c>
      <c r="E64" s="4">
        <v>650</v>
      </c>
      <c r="F64" s="4">
        <f>D64*E64</f>
        <v>6500</v>
      </c>
    </row>
    <row r="65" spans="1:6" x14ac:dyDescent="0.2">
      <c r="A65" s="2" t="s">
        <v>9</v>
      </c>
      <c r="B65" s="2" t="s">
        <v>19</v>
      </c>
      <c r="C65" s="2" t="s">
        <v>18</v>
      </c>
      <c r="D65" s="3">
        <v>5</v>
      </c>
      <c r="E65" s="4">
        <v>500</v>
      </c>
      <c r="F65" s="4">
        <f>D65*E65</f>
        <v>2500</v>
      </c>
    </row>
    <row r="66" spans="1:6" x14ac:dyDescent="0.2">
      <c r="A66" s="2" t="s">
        <v>9</v>
      </c>
      <c r="B66" s="2" t="s">
        <v>19</v>
      </c>
      <c r="C66" s="2" t="s">
        <v>18</v>
      </c>
      <c r="D66" s="3">
        <v>5</v>
      </c>
      <c r="E66" s="4">
        <v>500</v>
      </c>
      <c r="F66" s="4">
        <f>D66*E66</f>
        <v>2500</v>
      </c>
    </row>
    <row r="67" spans="1:6" x14ac:dyDescent="0.2">
      <c r="A67" s="2" t="s">
        <v>9</v>
      </c>
      <c r="B67" s="2" t="s">
        <v>19</v>
      </c>
      <c r="C67" s="2" t="s">
        <v>18</v>
      </c>
      <c r="D67" s="3">
        <v>5</v>
      </c>
      <c r="E67" s="4">
        <v>500</v>
      </c>
      <c r="F67" s="4">
        <f>D67*E67</f>
        <v>2500</v>
      </c>
    </row>
    <row r="68" spans="1:6" x14ac:dyDescent="0.2">
      <c r="A68" s="2" t="s">
        <v>9</v>
      </c>
      <c r="B68" s="2" t="s">
        <v>15</v>
      </c>
      <c r="C68" s="2" t="s">
        <v>23</v>
      </c>
      <c r="D68" s="3">
        <v>5</v>
      </c>
      <c r="E68" s="4">
        <v>600</v>
      </c>
      <c r="F68" s="4">
        <f>D68*E68</f>
        <v>3000</v>
      </c>
    </row>
    <row r="69" spans="1:6" x14ac:dyDescent="0.2">
      <c r="A69" s="2" t="s">
        <v>9</v>
      </c>
      <c r="B69" s="2" t="s">
        <v>15</v>
      </c>
      <c r="C69" s="2" t="s">
        <v>23</v>
      </c>
      <c r="D69" s="3">
        <v>5</v>
      </c>
      <c r="E69" s="4">
        <v>600</v>
      </c>
      <c r="F69" s="4">
        <f>D69*E69</f>
        <v>3000</v>
      </c>
    </row>
    <row r="70" spans="1:6" x14ac:dyDescent="0.2">
      <c r="A70" s="2" t="s">
        <v>9</v>
      </c>
      <c r="B70" s="2" t="s">
        <v>15</v>
      </c>
      <c r="C70" s="2" t="s">
        <v>23</v>
      </c>
      <c r="D70" s="3">
        <v>5</v>
      </c>
      <c r="E70" s="4">
        <v>600</v>
      </c>
      <c r="F70" s="4">
        <f>D70*E70</f>
        <v>3000</v>
      </c>
    </row>
    <row r="71" spans="1:6" x14ac:dyDescent="0.2">
      <c r="A71" s="2" t="s">
        <v>16</v>
      </c>
      <c r="B71" s="2" t="s">
        <v>15</v>
      </c>
      <c r="C71" s="2" t="s">
        <v>13</v>
      </c>
      <c r="D71" s="3">
        <v>10</v>
      </c>
      <c r="E71" s="4">
        <v>2850</v>
      </c>
      <c r="F71" s="4">
        <f>D71*E71</f>
        <v>28500</v>
      </c>
    </row>
    <row r="72" spans="1:6" x14ac:dyDescent="0.2">
      <c r="A72" s="2" t="s">
        <v>16</v>
      </c>
      <c r="B72" s="2" t="s">
        <v>15</v>
      </c>
      <c r="C72" s="2" t="s">
        <v>13</v>
      </c>
      <c r="D72" s="3">
        <v>15</v>
      </c>
      <c r="E72" s="4">
        <v>3200</v>
      </c>
      <c r="F72" s="4">
        <f>D72*E72</f>
        <v>48000</v>
      </c>
    </row>
    <row r="73" spans="1:6" x14ac:dyDescent="0.2">
      <c r="A73" s="2" t="s">
        <v>16</v>
      </c>
      <c r="B73" s="2" t="s">
        <v>15</v>
      </c>
      <c r="C73" s="2" t="s">
        <v>13</v>
      </c>
      <c r="D73" s="3">
        <v>15</v>
      </c>
      <c r="E73" s="4">
        <v>3200</v>
      </c>
      <c r="F73" s="4">
        <f>D73*E73</f>
        <v>48000</v>
      </c>
    </row>
    <row r="74" spans="1:6" x14ac:dyDescent="0.2">
      <c r="A74" s="2" t="s">
        <v>16</v>
      </c>
      <c r="B74" s="2" t="s">
        <v>15</v>
      </c>
      <c r="C74" s="2" t="s">
        <v>13</v>
      </c>
      <c r="D74" s="3">
        <v>15</v>
      </c>
      <c r="E74" s="4">
        <v>3200</v>
      </c>
      <c r="F74" s="4">
        <f>D74*E74</f>
        <v>48000</v>
      </c>
    </row>
    <row r="75" spans="1:6" x14ac:dyDescent="0.2">
      <c r="A75" s="2" t="s">
        <v>16</v>
      </c>
      <c r="B75" s="2" t="s">
        <v>15</v>
      </c>
      <c r="C75" s="2" t="s">
        <v>13</v>
      </c>
      <c r="D75" s="3">
        <v>15</v>
      </c>
      <c r="E75" s="4">
        <v>3200</v>
      </c>
      <c r="F75" s="4">
        <f>D75*E75</f>
        <v>48000</v>
      </c>
    </row>
    <row r="76" spans="1:6" x14ac:dyDescent="0.2">
      <c r="A76" s="2" t="s">
        <v>16</v>
      </c>
      <c r="B76" s="2" t="s">
        <v>22</v>
      </c>
      <c r="C76" s="2" t="s">
        <v>21</v>
      </c>
      <c r="D76" s="3">
        <v>15</v>
      </c>
      <c r="E76" s="4">
        <v>1850</v>
      </c>
      <c r="F76" s="4">
        <f>D76*E76</f>
        <v>27750</v>
      </c>
    </row>
    <row r="77" spans="1:6" x14ac:dyDescent="0.2">
      <c r="A77" s="2" t="s">
        <v>16</v>
      </c>
      <c r="B77" s="2" t="s">
        <v>22</v>
      </c>
      <c r="C77" s="2" t="s">
        <v>21</v>
      </c>
      <c r="D77" s="3">
        <v>15</v>
      </c>
      <c r="E77" s="4">
        <v>1850</v>
      </c>
      <c r="F77" s="4">
        <f>D77*E77</f>
        <v>27750</v>
      </c>
    </row>
    <row r="78" spans="1:6" x14ac:dyDescent="0.2">
      <c r="A78" s="2" t="s">
        <v>16</v>
      </c>
      <c r="B78" s="2" t="s">
        <v>22</v>
      </c>
      <c r="C78" s="2" t="s">
        <v>21</v>
      </c>
      <c r="D78" s="3">
        <v>15</v>
      </c>
      <c r="E78" s="4">
        <v>1850</v>
      </c>
      <c r="F78" s="4">
        <f>D78*E78</f>
        <v>27750</v>
      </c>
    </row>
    <row r="79" spans="1:6" x14ac:dyDescent="0.2">
      <c r="A79" s="2" t="s">
        <v>16</v>
      </c>
      <c r="B79" s="2" t="s">
        <v>22</v>
      </c>
      <c r="C79" s="2" t="s">
        <v>21</v>
      </c>
      <c r="D79" s="3">
        <v>15</v>
      </c>
      <c r="E79" s="4">
        <v>1850</v>
      </c>
      <c r="F79" s="4">
        <f>D79*E79</f>
        <v>27750</v>
      </c>
    </row>
    <row r="80" spans="1:6" x14ac:dyDescent="0.2">
      <c r="A80" s="2" t="s">
        <v>16</v>
      </c>
      <c r="B80" s="2" t="s">
        <v>10</v>
      </c>
      <c r="C80" s="2" t="s">
        <v>21</v>
      </c>
      <c r="D80" s="3">
        <v>20</v>
      </c>
      <c r="E80" s="4">
        <v>3500</v>
      </c>
      <c r="F80" s="4">
        <f>D80*E80</f>
        <v>70000</v>
      </c>
    </row>
    <row r="81" spans="1:6" x14ac:dyDescent="0.2">
      <c r="A81" s="2" t="s">
        <v>16</v>
      </c>
      <c r="B81" s="2" t="s">
        <v>10</v>
      </c>
      <c r="C81" s="2" t="s">
        <v>21</v>
      </c>
      <c r="D81" s="3">
        <v>20</v>
      </c>
      <c r="E81" s="4">
        <v>3500</v>
      </c>
      <c r="F81" s="4">
        <f>D81*E81</f>
        <v>70000</v>
      </c>
    </row>
    <row r="82" spans="1:6" x14ac:dyDescent="0.2">
      <c r="A82" s="2" t="s">
        <v>16</v>
      </c>
      <c r="B82" s="2" t="s">
        <v>10</v>
      </c>
      <c r="C82" s="2" t="s">
        <v>21</v>
      </c>
      <c r="D82" s="3">
        <v>20</v>
      </c>
      <c r="E82" s="4">
        <v>3500</v>
      </c>
      <c r="F82" s="4">
        <f>D82*E82</f>
        <v>70000</v>
      </c>
    </row>
    <row r="83" spans="1:6" x14ac:dyDescent="0.2">
      <c r="A83" s="2" t="s">
        <v>16</v>
      </c>
      <c r="B83" s="2" t="s">
        <v>10</v>
      </c>
      <c r="C83" s="2" t="s">
        <v>21</v>
      </c>
      <c r="D83" s="3">
        <v>20</v>
      </c>
      <c r="E83" s="4">
        <v>3500</v>
      </c>
      <c r="F83" s="4">
        <f>D83*E83</f>
        <v>70000</v>
      </c>
    </row>
    <row r="84" spans="1:6" x14ac:dyDescent="0.2">
      <c r="A84" s="2" t="s">
        <v>16</v>
      </c>
      <c r="B84" s="2" t="s">
        <v>22</v>
      </c>
      <c r="C84" s="2" t="s">
        <v>24</v>
      </c>
      <c r="D84" s="3">
        <v>56</v>
      </c>
      <c r="E84" s="4">
        <v>2000</v>
      </c>
      <c r="F84" s="4">
        <f>D84*E84</f>
        <v>112000</v>
      </c>
    </row>
    <row r="85" spans="1:6" x14ac:dyDescent="0.2">
      <c r="A85" s="2" t="s">
        <v>16</v>
      </c>
      <c r="B85" s="2" t="s">
        <v>22</v>
      </c>
      <c r="C85" s="2" t="s">
        <v>24</v>
      </c>
      <c r="D85" s="3">
        <v>56</v>
      </c>
      <c r="E85" s="4">
        <v>2000</v>
      </c>
      <c r="F85" s="4">
        <f>D85*E85</f>
        <v>112000</v>
      </c>
    </row>
    <row r="86" spans="1:6" x14ac:dyDescent="0.2">
      <c r="A86" s="2" t="s">
        <v>16</v>
      </c>
      <c r="B86" s="2" t="s">
        <v>22</v>
      </c>
      <c r="C86" s="2" t="s">
        <v>24</v>
      </c>
      <c r="D86" s="3">
        <v>56</v>
      </c>
      <c r="E86" s="4">
        <v>2000</v>
      </c>
      <c r="F86" s="4">
        <f>D86*E86</f>
        <v>112000</v>
      </c>
    </row>
    <row r="87" spans="1:6" x14ac:dyDescent="0.2">
      <c r="A87" s="2" t="s">
        <v>16</v>
      </c>
      <c r="B87" s="2" t="s">
        <v>25</v>
      </c>
      <c r="C87" s="2" t="s">
        <v>24</v>
      </c>
      <c r="D87" s="3">
        <v>20</v>
      </c>
      <c r="E87" s="4">
        <v>1850</v>
      </c>
      <c r="F87" s="4">
        <f>D87*E87</f>
        <v>37000</v>
      </c>
    </row>
    <row r="88" spans="1:6" x14ac:dyDescent="0.2">
      <c r="A88" s="2" t="s">
        <v>16</v>
      </c>
      <c r="B88" s="2" t="s">
        <v>25</v>
      </c>
      <c r="C88" s="2" t="s">
        <v>24</v>
      </c>
      <c r="D88" s="3">
        <v>20</v>
      </c>
      <c r="E88" s="4">
        <v>1850</v>
      </c>
      <c r="F88" s="4">
        <f>D88*E88</f>
        <v>37000</v>
      </c>
    </row>
    <row r="89" spans="1:6" x14ac:dyDescent="0.2">
      <c r="A89" s="2" t="s">
        <v>16</v>
      </c>
      <c r="B89" s="2" t="s">
        <v>25</v>
      </c>
      <c r="C89" s="2" t="s">
        <v>24</v>
      </c>
      <c r="D89" s="3">
        <v>20</v>
      </c>
      <c r="E89" s="4">
        <v>1850</v>
      </c>
      <c r="F89" s="4">
        <f>D89*E89</f>
        <v>37000</v>
      </c>
    </row>
    <row r="90" spans="1:6" x14ac:dyDescent="0.2">
      <c r="A90" s="2" t="s">
        <v>16</v>
      </c>
      <c r="B90" s="2" t="s">
        <v>25</v>
      </c>
      <c r="C90" s="2" t="s">
        <v>24</v>
      </c>
      <c r="D90" s="3">
        <v>20</v>
      </c>
      <c r="E90" s="4">
        <v>1850</v>
      </c>
      <c r="F90" s="4">
        <f>D90*E90</f>
        <v>37000</v>
      </c>
    </row>
    <row r="91" spans="1:6" x14ac:dyDescent="0.2">
      <c r="A91" s="2" t="s">
        <v>16</v>
      </c>
      <c r="B91" s="2" t="s">
        <v>15</v>
      </c>
      <c r="C91" s="2" t="s">
        <v>24</v>
      </c>
      <c r="D91" s="3">
        <v>15</v>
      </c>
      <c r="E91" s="4">
        <v>2500</v>
      </c>
      <c r="F91" s="4">
        <f>D91*E91</f>
        <v>37500</v>
      </c>
    </row>
    <row r="92" spans="1:6" x14ac:dyDescent="0.2">
      <c r="A92" s="2" t="s">
        <v>16</v>
      </c>
      <c r="B92" s="2" t="s">
        <v>15</v>
      </c>
      <c r="C92" s="2" t="s">
        <v>24</v>
      </c>
      <c r="D92" s="3">
        <v>15</v>
      </c>
      <c r="E92" s="4">
        <v>2500</v>
      </c>
      <c r="F92" s="4">
        <f>D92*E92</f>
        <v>37500</v>
      </c>
    </row>
    <row r="93" spans="1:6" x14ac:dyDescent="0.2">
      <c r="A93" s="2" t="s">
        <v>16</v>
      </c>
      <c r="B93" s="2" t="s">
        <v>15</v>
      </c>
      <c r="C93" s="2" t="s">
        <v>24</v>
      </c>
      <c r="D93" s="3">
        <v>15</v>
      </c>
      <c r="E93" s="4">
        <v>2500</v>
      </c>
      <c r="F93" s="4">
        <f>D93*E93</f>
        <v>37500</v>
      </c>
    </row>
    <row r="94" spans="1:6" x14ac:dyDescent="0.2">
      <c r="A94" s="2" t="s">
        <v>16</v>
      </c>
      <c r="B94" s="2" t="s">
        <v>10</v>
      </c>
      <c r="C94" s="2" t="s">
        <v>24</v>
      </c>
      <c r="D94" s="3">
        <v>20</v>
      </c>
      <c r="E94" s="4">
        <v>3000</v>
      </c>
      <c r="F94" s="4">
        <f>D94*E94</f>
        <v>60000</v>
      </c>
    </row>
    <row r="95" spans="1:6" x14ac:dyDescent="0.2">
      <c r="A95" s="2" t="s">
        <v>16</v>
      </c>
      <c r="B95" s="2" t="s">
        <v>10</v>
      </c>
      <c r="C95" s="2" t="s">
        <v>24</v>
      </c>
      <c r="D95" s="3">
        <v>20</v>
      </c>
      <c r="E95" s="4">
        <v>3000</v>
      </c>
      <c r="F95" s="4">
        <f>D95*E95</f>
        <v>60000</v>
      </c>
    </row>
    <row r="96" spans="1:6" x14ac:dyDescent="0.2">
      <c r="A96" s="2" t="s">
        <v>16</v>
      </c>
      <c r="B96" s="2" t="s">
        <v>10</v>
      </c>
      <c r="C96" s="2" t="s">
        <v>24</v>
      </c>
      <c r="D96" s="3">
        <v>20</v>
      </c>
      <c r="E96" s="4">
        <v>3000</v>
      </c>
      <c r="F96" s="4">
        <f>D96*E96</f>
        <v>60000</v>
      </c>
    </row>
    <row r="97" spans="1:6" x14ac:dyDescent="0.2">
      <c r="A97" s="2" t="s">
        <v>16</v>
      </c>
      <c r="B97" s="2" t="s">
        <v>10</v>
      </c>
      <c r="C97" s="2" t="s">
        <v>24</v>
      </c>
      <c r="D97" s="3">
        <v>20</v>
      </c>
      <c r="E97" s="4">
        <v>3000</v>
      </c>
      <c r="F97" s="4">
        <f>D97*E97</f>
        <v>60000</v>
      </c>
    </row>
    <row r="98" spans="1:6" x14ac:dyDescent="0.2">
      <c r="A98" s="2" t="s">
        <v>16</v>
      </c>
      <c r="B98" s="2" t="s">
        <v>10</v>
      </c>
      <c r="C98" s="2" t="s">
        <v>24</v>
      </c>
      <c r="D98" s="3">
        <v>15</v>
      </c>
      <c r="E98" s="4">
        <v>3250</v>
      </c>
      <c r="F98" s="4">
        <f>D98*E98</f>
        <v>48750</v>
      </c>
    </row>
    <row r="99" spans="1:6" x14ac:dyDescent="0.2">
      <c r="A99" s="2" t="s">
        <v>16</v>
      </c>
      <c r="B99" s="2" t="s">
        <v>10</v>
      </c>
      <c r="C99" s="2" t="s">
        <v>24</v>
      </c>
      <c r="D99" s="3">
        <v>15</v>
      </c>
      <c r="E99" s="4">
        <v>3250</v>
      </c>
      <c r="F99" s="4">
        <f>D99*E99</f>
        <v>48750</v>
      </c>
    </row>
    <row r="100" spans="1:6" x14ac:dyDescent="0.2">
      <c r="A100" s="2" t="s">
        <v>16</v>
      </c>
      <c r="B100" s="2" t="s">
        <v>10</v>
      </c>
      <c r="C100" s="2" t="s">
        <v>24</v>
      </c>
      <c r="D100" s="3">
        <v>15</v>
      </c>
      <c r="E100" s="4">
        <v>3250</v>
      </c>
      <c r="F100" s="4">
        <f>D100*E100</f>
        <v>48750</v>
      </c>
    </row>
    <row r="101" spans="1:6" x14ac:dyDescent="0.2">
      <c r="A101" s="2" t="s">
        <v>16</v>
      </c>
      <c r="B101" s="2" t="s">
        <v>14</v>
      </c>
      <c r="C101" s="2" t="s">
        <v>24</v>
      </c>
      <c r="D101" s="3">
        <v>25</v>
      </c>
      <c r="E101" s="4">
        <v>3500</v>
      </c>
      <c r="F101" s="4">
        <f>D101*E101</f>
        <v>87500</v>
      </c>
    </row>
    <row r="102" spans="1:6" x14ac:dyDescent="0.2">
      <c r="A102" s="2" t="s">
        <v>16</v>
      </c>
      <c r="B102" s="2" t="s">
        <v>14</v>
      </c>
      <c r="C102" s="2" t="s">
        <v>24</v>
      </c>
      <c r="D102" s="3">
        <v>25</v>
      </c>
      <c r="E102" s="4">
        <v>3500</v>
      </c>
      <c r="F102" s="4">
        <f>D102*E102</f>
        <v>87500</v>
      </c>
    </row>
    <row r="103" spans="1:6" x14ac:dyDescent="0.2">
      <c r="A103" s="2" t="s">
        <v>16</v>
      </c>
      <c r="B103" s="2" t="s">
        <v>14</v>
      </c>
      <c r="C103" s="2" t="s">
        <v>24</v>
      </c>
      <c r="D103" s="3">
        <v>25</v>
      </c>
      <c r="E103" s="4">
        <v>3500</v>
      </c>
      <c r="F103" s="4">
        <f>D103*E103</f>
        <v>87500</v>
      </c>
    </row>
    <row r="104" spans="1:6" x14ac:dyDescent="0.2">
      <c r="A104" s="2" t="s">
        <v>16</v>
      </c>
      <c r="B104" s="2" t="s">
        <v>14</v>
      </c>
      <c r="C104" s="2" t="s">
        <v>24</v>
      </c>
      <c r="D104" s="3">
        <v>25</v>
      </c>
      <c r="E104" s="4">
        <v>3500</v>
      </c>
      <c r="F104" s="4">
        <f>D104*E104</f>
        <v>87500</v>
      </c>
    </row>
    <row r="105" spans="1:6" x14ac:dyDescent="0.2">
      <c r="A105" s="2" t="s">
        <v>16</v>
      </c>
      <c r="B105" s="2" t="s">
        <v>15</v>
      </c>
      <c r="C105" s="2" t="s">
        <v>24</v>
      </c>
      <c r="D105" s="3">
        <v>100</v>
      </c>
      <c r="E105" s="4">
        <v>2500</v>
      </c>
      <c r="F105" s="4">
        <f>D105*E105</f>
        <v>250000</v>
      </c>
    </row>
    <row r="106" spans="1:6" x14ac:dyDescent="0.2">
      <c r="A106" s="2" t="s">
        <v>16</v>
      </c>
      <c r="B106" s="2" t="s">
        <v>19</v>
      </c>
      <c r="C106" s="2" t="s">
        <v>26</v>
      </c>
      <c r="D106" s="3">
        <v>4</v>
      </c>
      <c r="E106" s="4">
        <v>2000</v>
      </c>
      <c r="F106" s="4">
        <f>D106*E106</f>
        <v>8000</v>
      </c>
    </row>
    <row r="107" spans="1:6" x14ac:dyDescent="0.2">
      <c r="A107" s="2" t="s">
        <v>16</v>
      </c>
      <c r="B107" s="2" t="s">
        <v>19</v>
      </c>
      <c r="C107" s="2" t="s">
        <v>26</v>
      </c>
      <c r="D107" s="3">
        <v>4</v>
      </c>
      <c r="E107" s="4">
        <v>2000</v>
      </c>
      <c r="F107" s="4">
        <f>D107*E107</f>
        <v>8000</v>
      </c>
    </row>
    <row r="108" spans="1:6" x14ac:dyDescent="0.2">
      <c r="A108" s="2" t="s">
        <v>16</v>
      </c>
      <c r="B108" s="2" t="s">
        <v>19</v>
      </c>
      <c r="C108" s="2" t="s">
        <v>26</v>
      </c>
      <c r="D108" s="3">
        <v>4</v>
      </c>
      <c r="E108" s="4">
        <v>2000</v>
      </c>
      <c r="F108" s="4">
        <f>D108*E108</f>
        <v>8000</v>
      </c>
    </row>
    <row r="109" spans="1:6" x14ac:dyDescent="0.2">
      <c r="A109" s="2" t="s">
        <v>16</v>
      </c>
      <c r="B109" s="2" t="s">
        <v>22</v>
      </c>
      <c r="C109" s="2" t="s">
        <v>27</v>
      </c>
      <c r="D109" s="3">
        <v>8</v>
      </c>
      <c r="E109" s="4">
        <v>1850</v>
      </c>
      <c r="F109" s="4">
        <f>D109*E109</f>
        <v>14800</v>
      </c>
    </row>
    <row r="110" spans="1:6" x14ac:dyDescent="0.2">
      <c r="A110" s="2" t="s">
        <v>16</v>
      </c>
      <c r="B110" s="2" t="s">
        <v>22</v>
      </c>
      <c r="C110" s="2" t="s">
        <v>27</v>
      </c>
      <c r="D110" s="3">
        <v>8</v>
      </c>
      <c r="E110" s="4">
        <v>1850</v>
      </c>
      <c r="F110" s="4">
        <f>D110*E110</f>
        <v>14800</v>
      </c>
    </row>
    <row r="111" spans="1:6" x14ac:dyDescent="0.2">
      <c r="A111" s="2" t="s">
        <v>16</v>
      </c>
      <c r="B111" s="2" t="s">
        <v>22</v>
      </c>
      <c r="C111" s="2" t="s">
        <v>27</v>
      </c>
      <c r="D111" s="3">
        <v>8</v>
      </c>
      <c r="E111" s="4">
        <v>1850</v>
      </c>
      <c r="F111" s="4">
        <f>D111*E111</f>
        <v>14800</v>
      </c>
    </row>
    <row r="112" spans="1:6" x14ac:dyDescent="0.2">
      <c r="A112" s="2" t="s">
        <v>16</v>
      </c>
      <c r="B112" s="2" t="s">
        <v>22</v>
      </c>
      <c r="C112" s="2" t="s">
        <v>27</v>
      </c>
      <c r="D112" s="3">
        <v>8</v>
      </c>
      <c r="E112" s="4">
        <v>1850</v>
      </c>
      <c r="F112" s="4">
        <f>D112*E112</f>
        <v>14800</v>
      </c>
    </row>
    <row r="113" spans="1:6" x14ac:dyDescent="0.2">
      <c r="A113" s="2" t="s">
        <v>7</v>
      </c>
      <c r="B113" s="2" t="s">
        <v>8</v>
      </c>
      <c r="C113" s="2" t="s">
        <v>6</v>
      </c>
      <c r="D113" s="3">
        <v>10</v>
      </c>
      <c r="E113" s="4">
        <v>350</v>
      </c>
      <c r="F113" s="4">
        <f>D113*E113</f>
        <v>3500</v>
      </c>
    </row>
    <row r="114" spans="1:6" x14ac:dyDescent="0.2">
      <c r="A114" s="2" t="s">
        <v>7</v>
      </c>
      <c r="B114" s="2" t="s">
        <v>8</v>
      </c>
      <c r="C114" s="2" t="s">
        <v>18</v>
      </c>
      <c r="D114" s="3">
        <v>5</v>
      </c>
      <c r="E114" s="4">
        <v>400</v>
      </c>
      <c r="F114" s="4">
        <f>D114*E114</f>
        <v>2000</v>
      </c>
    </row>
    <row r="115" spans="1:6" x14ac:dyDescent="0.2">
      <c r="A115" s="2" t="s">
        <v>7</v>
      </c>
      <c r="B115" s="2" t="s">
        <v>8</v>
      </c>
      <c r="C115" s="2" t="s">
        <v>18</v>
      </c>
      <c r="D115" s="3">
        <v>5</v>
      </c>
      <c r="E115" s="4">
        <v>400</v>
      </c>
      <c r="F115" s="4">
        <f>D115*E115</f>
        <v>2000</v>
      </c>
    </row>
    <row r="116" spans="1:6" x14ac:dyDescent="0.2">
      <c r="A116" s="2" t="s">
        <v>7</v>
      </c>
      <c r="B116" s="2" t="s">
        <v>8</v>
      </c>
      <c r="C116" s="2" t="s">
        <v>18</v>
      </c>
      <c r="D116" s="3">
        <v>5</v>
      </c>
      <c r="E116" s="4">
        <v>400</v>
      </c>
      <c r="F116" s="4">
        <f>D116*E116</f>
        <v>2000</v>
      </c>
    </row>
    <row r="117" spans="1:6" x14ac:dyDescent="0.2">
      <c r="A117" s="2" t="s">
        <v>7</v>
      </c>
      <c r="B117" s="2" t="s">
        <v>8</v>
      </c>
      <c r="C117" s="2" t="s">
        <v>18</v>
      </c>
      <c r="D117" s="3">
        <v>5</v>
      </c>
      <c r="E117" s="4">
        <v>400</v>
      </c>
      <c r="F117" s="4">
        <f>D117*E117</f>
        <v>2000</v>
      </c>
    </row>
    <row r="118" spans="1:6" x14ac:dyDescent="0.2">
      <c r="A118" s="2" t="s">
        <v>7</v>
      </c>
      <c r="B118" s="2" t="s">
        <v>8</v>
      </c>
      <c r="C118" s="2" t="s">
        <v>23</v>
      </c>
      <c r="D118" s="3">
        <v>20</v>
      </c>
      <c r="E118" s="4">
        <v>300</v>
      </c>
      <c r="F118" s="4">
        <f>D118*E118</f>
        <v>6000</v>
      </c>
    </row>
    <row r="119" spans="1:6" x14ac:dyDescent="0.2">
      <c r="A119" s="2" t="s">
        <v>7</v>
      </c>
      <c r="B119" s="2" t="s">
        <v>8</v>
      </c>
      <c r="C119" s="2" t="s">
        <v>26</v>
      </c>
      <c r="D119" s="3">
        <v>10</v>
      </c>
      <c r="E119" s="4">
        <v>300</v>
      </c>
      <c r="F119" s="4">
        <f>D119*E119</f>
        <v>3000</v>
      </c>
    </row>
    <row r="120" spans="1:6" x14ac:dyDescent="0.2">
      <c r="A120" s="2" t="s">
        <v>7</v>
      </c>
      <c r="B120" s="2" t="s">
        <v>8</v>
      </c>
      <c r="C120" s="2" t="s">
        <v>27</v>
      </c>
      <c r="D120" s="3">
        <v>32</v>
      </c>
      <c r="E120" s="4">
        <v>300</v>
      </c>
      <c r="F120" s="4">
        <f>D120*E120</f>
        <v>9600</v>
      </c>
    </row>
    <row r="121" spans="1:6" x14ac:dyDescent="0.2">
      <c r="A121" s="2" t="s">
        <v>7</v>
      </c>
      <c r="B121" s="2" t="s">
        <v>8</v>
      </c>
      <c r="C121" s="2" t="s">
        <v>27</v>
      </c>
      <c r="D121" s="3">
        <v>32</v>
      </c>
      <c r="E121" s="4">
        <v>300</v>
      </c>
      <c r="F121" s="4">
        <f>D121*E121</f>
        <v>9600</v>
      </c>
    </row>
    <row r="122" spans="1:6" x14ac:dyDescent="0.2">
      <c r="A122" s="2" t="s">
        <v>7</v>
      </c>
      <c r="B122" s="2" t="s">
        <v>8</v>
      </c>
      <c r="C122" s="2" t="s">
        <v>27</v>
      </c>
      <c r="D122" s="3">
        <v>32</v>
      </c>
      <c r="E122" s="4">
        <v>300</v>
      </c>
      <c r="F122" s="4">
        <f>D122*E122</f>
        <v>9600</v>
      </c>
    </row>
    <row r="123" spans="1:6" x14ac:dyDescent="0.2">
      <c r="A123" s="2" t="s">
        <v>7</v>
      </c>
      <c r="B123" s="2" t="s">
        <v>8</v>
      </c>
      <c r="C123" s="2" t="s">
        <v>27</v>
      </c>
      <c r="D123" s="3">
        <v>3</v>
      </c>
      <c r="E123" s="4">
        <v>350</v>
      </c>
      <c r="F123" s="4">
        <f>D123*E123</f>
        <v>1050</v>
      </c>
    </row>
    <row r="124" spans="1:6" x14ac:dyDescent="0.2">
      <c r="A124" s="2" t="s">
        <v>7</v>
      </c>
      <c r="B124" s="2" t="s">
        <v>8</v>
      </c>
      <c r="C124" s="2" t="s">
        <v>27</v>
      </c>
      <c r="D124" s="3">
        <v>3</v>
      </c>
      <c r="E124" s="4">
        <v>350</v>
      </c>
      <c r="F124" s="4">
        <f>D124*E124</f>
        <v>1050</v>
      </c>
    </row>
    <row r="125" spans="1:6" x14ac:dyDescent="0.2">
      <c r="A125" s="2" t="s">
        <v>7</v>
      </c>
      <c r="B125" s="2" t="s">
        <v>8</v>
      </c>
      <c r="C125" s="2" t="s">
        <v>27</v>
      </c>
      <c r="D125" s="3">
        <v>3</v>
      </c>
      <c r="E125" s="4">
        <v>350</v>
      </c>
      <c r="F125" s="4">
        <f>D125*E125</f>
        <v>1050</v>
      </c>
    </row>
    <row r="126" spans="1:6" x14ac:dyDescent="0.2">
      <c r="A126" s="2" t="s">
        <v>7</v>
      </c>
      <c r="B126" s="2" t="s">
        <v>8</v>
      </c>
      <c r="C126" s="2" t="s">
        <v>27</v>
      </c>
      <c r="D126" s="3">
        <v>3</v>
      </c>
      <c r="E126" s="4">
        <v>350</v>
      </c>
      <c r="F126" s="4">
        <f>D126*E126</f>
        <v>1050</v>
      </c>
    </row>
    <row r="127" spans="1:6" x14ac:dyDescent="0.2">
      <c r="A127" s="2" t="s">
        <v>7</v>
      </c>
      <c r="B127" s="2" t="s">
        <v>8</v>
      </c>
      <c r="C127" s="2" t="s">
        <v>27</v>
      </c>
      <c r="D127" s="3">
        <v>3</v>
      </c>
      <c r="E127" s="4">
        <v>500</v>
      </c>
      <c r="F127" s="4">
        <f>D127*E127</f>
        <v>1500</v>
      </c>
    </row>
    <row r="128" spans="1:6" x14ac:dyDescent="0.2">
      <c r="A128" s="2" t="s">
        <v>7</v>
      </c>
      <c r="B128" s="2" t="s">
        <v>8</v>
      </c>
      <c r="C128" s="2" t="s">
        <v>27</v>
      </c>
      <c r="D128" s="3">
        <v>3</v>
      </c>
      <c r="E128" s="4">
        <v>500</v>
      </c>
      <c r="F128" s="4">
        <f>D128*E128</f>
        <v>1500</v>
      </c>
    </row>
    <row r="129" spans="1:6" x14ac:dyDescent="0.2">
      <c r="A129" s="2" t="s">
        <v>7</v>
      </c>
      <c r="B129" s="2" t="s">
        <v>8</v>
      </c>
      <c r="C129" s="2" t="s">
        <v>27</v>
      </c>
      <c r="D129" s="3">
        <v>3</v>
      </c>
      <c r="E129" s="4">
        <v>500</v>
      </c>
      <c r="F129" s="4">
        <f>D129*E129</f>
        <v>1500</v>
      </c>
    </row>
    <row r="130" spans="1:6" x14ac:dyDescent="0.2">
      <c r="A130" s="2" t="s">
        <v>7</v>
      </c>
      <c r="B130" s="2" t="s">
        <v>8</v>
      </c>
      <c r="C130" s="2" t="s">
        <v>27</v>
      </c>
      <c r="D130" s="3">
        <v>3</v>
      </c>
      <c r="E130" s="4">
        <v>500</v>
      </c>
      <c r="F130" s="4">
        <f>D130*E130</f>
        <v>1500</v>
      </c>
    </row>
  </sheetData>
  <sortState ref="A2:F130">
    <sortCondition descending="1" ref="A2"/>
  </sortState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Kubilay TASTUTAR (BilgeAdam)</dc:creator>
  <cp:lastModifiedBy>Emre</cp:lastModifiedBy>
  <dcterms:created xsi:type="dcterms:W3CDTF">2016-07-13T08:01:47Z</dcterms:created>
  <dcterms:modified xsi:type="dcterms:W3CDTF">2026-02-24T19:26:53Z</dcterms:modified>
</cp:coreProperties>
</file>