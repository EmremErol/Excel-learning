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Logical Functions\"/>
    </mc:Choice>
  </mc:AlternateContent>
  <bookViews>
    <workbookView xWindow="0" yWindow="0" windowWidth="20490" windowHeight="7635"/>
  </bookViews>
  <sheets>
    <sheet name="Eğer" sheetId="3" r:id="rId1"/>
    <sheet name="Eğer 2" sheetId="2" r:id="rId2"/>
  </sheets>
  <calcPr calcId="162913"/>
  <customWorkbookViews>
    <customWorkbookView name="Muhammet - Personal View" guid="{65C11F3C-D43F-4850-BF5E-CB6008E1E324}" mergeInterval="0" personalView="1" maximized="1" windowWidth="796" windowHeight="42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3" l="1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J12" i="3"/>
  <c r="J4" i="3"/>
  <c r="J3" i="3"/>
  <c r="J5" i="3"/>
  <c r="J6" i="3"/>
  <c r="J7" i="3"/>
  <c r="J8" i="3"/>
  <c r="J9" i="3"/>
  <c r="J10" i="3"/>
  <c r="J11" i="3"/>
  <c r="J13" i="3"/>
  <c r="J14" i="3"/>
  <c r="J15" i="3"/>
  <c r="J16" i="3"/>
  <c r="J2" i="3"/>
  <c r="N3" i="3" l="1"/>
  <c r="N4" i="3"/>
  <c r="N5" i="3"/>
  <c r="N6" i="3"/>
  <c r="N2" i="3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E8" i="3" l="1"/>
  <c r="E9" i="3"/>
  <c r="E10" i="3"/>
  <c r="E11" i="3"/>
  <c r="E12" i="3"/>
  <c r="E13" i="3"/>
  <c r="E14" i="3"/>
  <c r="E15" i="3"/>
  <c r="E16" i="3"/>
  <c r="E3" i="3"/>
  <c r="E4" i="3"/>
  <c r="E5" i="3"/>
  <c r="E6" i="3"/>
  <c r="E7" i="3"/>
  <c r="E2" i="3" l="1"/>
</calcChain>
</file>

<file path=xl/comments1.xml><?xml version="1.0" encoding="utf-8"?>
<comments xmlns="http://schemas.openxmlformats.org/spreadsheetml/2006/main">
  <authors>
    <author>BITechM</author>
  </authors>
  <commentList>
    <comment ref="J1" authorId="0" shapeId="0">
      <text>
        <r>
          <rPr>
            <b/>
            <sz val="9"/>
            <color indexed="81"/>
            <rFont val="Tahoma"/>
            <family val="2"/>
            <charset val="162"/>
          </rPr>
          <t>0-24 F
25-44 D
45-69 C
70-84 B
85-100 A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<sst xmlns="http://schemas.openxmlformats.org/spreadsheetml/2006/main" count="43" uniqueCount="37">
  <si>
    <t>Öğrenci</t>
  </si>
  <si>
    <t>1. sınav</t>
  </si>
  <si>
    <t>2. sınav</t>
  </si>
  <si>
    <t>3. sınav</t>
  </si>
  <si>
    <t>Ortalama</t>
  </si>
  <si>
    <t>Sonuç</t>
  </si>
  <si>
    <t>&lt;85 Almayan</t>
  </si>
  <si>
    <t>En az 1 tane 100</t>
  </si>
  <si>
    <t>Simge</t>
  </si>
  <si>
    <t>Harfli Not</t>
  </si>
  <si>
    <t>İl</t>
  </si>
  <si>
    <t>Stok</t>
  </si>
  <si>
    <t>Sipariş</t>
  </si>
  <si>
    <t>Ali</t>
  </si>
  <si>
    <t>Ankara</t>
  </si>
  <si>
    <t>Sibel</t>
  </si>
  <si>
    <t>İstanbul</t>
  </si>
  <si>
    <t>Temel</t>
  </si>
  <si>
    <t>Samsun</t>
  </si>
  <si>
    <t>Kemal</t>
  </si>
  <si>
    <t>Bursa</t>
  </si>
  <si>
    <t>Can</t>
  </si>
  <si>
    <t>Aydın</t>
  </si>
  <si>
    <t>Kazım</t>
  </si>
  <si>
    <t>Murat</t>
  </si>
  <si>
    <t>Ayşe</t>
  </si>
  <si>
    <t>Müge</t>
  </si>
  <si>
    <t>Özge</t>
  </si>
  <si>
    <t>Özgür</t>
  </si>
  <si>
    <t>Hakan</t>
  </si>
  <si>
    <t>Mustafa</t>
  </si>
  <si>
    <t>Dila</t>
  </si>
  <si>
    <t>Aykut</t>
  </si>
  <si>
    <t>Hedef</t>
  </si>
  <si>
    <t>Gerçekleşen</t>
  </si>
  <si>
    <t>Prim</t>
  </si>
  <si>
    <t>Hesap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</si>
</sst>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Y_T_L_-;\-* #,##0.00\ _Y_T_L_-;_-* &quot;-&quot;??\ _Y_T_L_-;_-@_-"/>
  </numFmts>
  <fonts count="9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sz val="9"/>
      <color indexed="81"/>
      <name val="Tahoma"/>
      <family val="2"/>
      <charset val="162"/>
    </font>
    <font>
      <sz val="10"/>
      <name val="Wingdings"/>
      <charset val="2"/>
    </font>
    <font>
      <sz val="10"/>
      <name val="Wingdings 3"/>
      <family val="1"/>
      <charset val="2"/>
    </font>
    <font>
      <b/>
      <sz val="9"/>
      <color indexed="81"/>
      <name val="Tahoma"/>
      <family val="2"/>
      <charset val="162"/>
    </font>
    <font>
      <sz val="10"/>
      <color theme="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">
    <xf numFmtId="0" fontId="0" fillId="0" borderId="0" xfId="0"/>
    <xf numFmtId="0" fontId="3" fillId="0" borderId="0" xfId="2" applyAlignment="1" applyProtection="1"/>
    <xf numFmtId="164" fontId="0" fillId="0" borderId="0" xfId="1" applyFont="1"/>
    <xf numFmtId="0" fontId="5" fillId="0" borderId="0" xfId="0" applyFont="1"/>
    <xf numFmtId="1" fontId="0" fillId="0" borderId="0" xfId="0" applyNumberFormat="1"/>
    <xf numFmtId="0" fontId="6" fillId="0" borderId="0" xfId="0" applyFont="1"/>
    <xf numFmtId="0" fontId="2" fillId="0" borderId="0" xfId="0" applyFont="1"/>
    <xf numFmtId="0" fontId="8" fillId="2" borderId="0" xfId="0" applyFont="1" applyFill="1"/>
  </cellXfs>
  <cellStyles count="4">
    <cellStyle name="Köprü" xfId="2" builtinId="8"/>
    <cellStyle name="Normal" xfId="0" builtinId="0"/>
    <cellStyle name="Normal 2" xfId="3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"/>
  <sheetViews>
    <sheetView tabSelected="1" zoomScale="115" zoomScaleNormal="115" workbookViewId="0">
      <selection activeCell="H2" sqref="H2:H16"/>
    </sheetView>
  </sheetViews>
  <sheetFormatPr defaultRowHeight="12.75" x14ac:dyDescent="0.2"/>
  <cols>
    <col min="6" max="6" width="10.140625" customWidth="1"/>
    <col min="7" max="7" width="20.28515625" customWidth="1"/>
    <col min="8" max="8" width="15.7109375" customWidth="1"/>
    <col min="9" max="9" width="0.28515625" hidden="1" customWidth="1"/>
    <col min="10" max="10" width="11.42578125" customWidth="1"/>
    <col min="14" max="14" width="12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L1" s="7" t="s">
        <v>10</v>
      </c>
      <c r="M1" s="7" t="s">
        <v>11</v>
      </c>
      <c r="N1" s="7" t="s">
        <v>12</v>
      </c>
    </row>
    <row r="2" spans="1:15" x14ac:dyDescent="0.2">
      <c r="A2" t="s">
        <v>13</v>
      </c>
      <c r="B2">
        <v>54</v>
      </c>
      <c r="C2">
        <v>69</v>
      </c>
      <c r="D2">
        <v>62</v>
      </c>
      <c r="E2" s="4">
        <f>(B2+C2+D2)/3</f>
        <v>61.666666666666664</v>
      </c>
      <c r="F2" t="str">
        <f>IF(E2&gt;=50,"GEÇTİ","KALDI")</f>
        <v>GEÇTİ</v>
      </c>
      <c r="G2" s="6" t="str">
        <f>IF(AND(B2&gt;=85,C2&gt;=85,D2&gt;=85),"Çalışkan","Standart")</f>
        <v>Standart</v>
      </c>
      <c r="H2" s="6" t="str">
        <f>IF(OR(B2=100,C2=100,D2=100),"100 Almış","100 Almamış")</f>
        <v>100 Almamış</v>
      </c>
      <c r="I2" s="3"/>
      <c r="J2" s="6" t="str">
        <f>IF(E2&lt;25,"F", IF(E2&lt;45,"D",IF(E2&lt;70,"C",IF(E2&lt;85,"B",A))))</f>
        <v>C</v>
      </c>
      <c r="L2" t="s">
        <v>14</v>
      </c>
      <c r="M2">
        <v>500</v>
      </c>
      <c r="N2" t="str">
        <f>IF(M2&lt;=300,"Yeterli","Sipariş Ver")</f>
        <v>Sipariş Ver</v>
      </c>
    </row>
    <row r="3" spans="1:15" x14ac:dyDescent="0.2">
      <c r="A3" t="s">
        <v>15</v>
      </c>
      <c r="B3">
        <v>77</v>
      </c>
      <c r="C3">
        <v>83</v>
      </c>
      <c r="D3">
        <v>51</v>
      </c>
      <c r="E3" s="4">
        <f t="shared" ref="E3:E16" si="0">(B3+C3+D3)/3</f>
        <v>70.333333333333329</v>
      </c>
      <c r="F3" t="str">
        <f t="shared" ref="F3:F16" si="1">IF(E3&gt;=50,"GEÇTİ","KALDI")</f>
        <v>GEÇTİ</v>
      </c>
      <c r="G3" s="6" t="str">
        <f t="shared" ref="G3:G16" si="2">IF(AND(B3&gt;=85,C3&gt;=85,D3&gt;=85),"Çalışkan","Standart")</f>
        <v>Standart</v>
      </c>
      <c r="H3" s="6" t="str">
        <f t="shared" ref="H3:H16" si="3">IF(OR(B3=100,C3=100,D3=100),"100 Almış","100 Almamış")</f>
        <v>100 Almamış</v>
      </c>
      <c r="I3" s="3"/>
      <c r="J3" s="6" t="str">
        <f>IF(E3&lt;25,"F", IF(E3&lt;45,"D",IF(E3&lt;70,"C",IF(E3&lt;85,"B",A))))</f>
        <v>B</v>
      </c>
      <c r="L3" t="s">
        <v>16</v>
      </c>
      <c r="M3">
        <v>200</v>
      </c>
      <c r="N3" t="str">
        <f t="shared" ref="N3:N6" si="4">IF(M3&lt;=300,"Yeterli","Sipariş Ver")</f>
        <v>Yeterli</v>
      </c>
    </row>
    <row r="4" spans="1:15" x14ac:dyDescent="0.2">
      <c r="A4" t="s">
        <v>17</v>
      </c>
      <c r="B4">
        <v>96</v>
      </c>
      <c r="C4">
        <v>97</v>
      </c>
      <c r="D4">
        <v>85</v>
      </c>
      <c r="E4" s="4">
        <f t="shared" si="0"/>
        <v>92.666666666666671</v>
      </c>
      <c r="F4" t="str">
        <f t="shared" si="1"/>
        <v>GEÇTİ</v>
      </c>
      <c r="G4" s="6" t="str">
        <f t="shared" si="2"/>
        <v>Çalışkan</v>
      </c>
      <c r="H4" s="6" t="str">
        <f t="shared" si="3"/>
        <v>100 Almamış</v>
      </c>
      <c r="I4" s="3"/>
      <c r="J4" s="6" t="str">
        <f>IF(E4&lt;25,"F", IF(E4&lt;45,"D",IF(E4&lt;70,"C",IF(E4&lt;85,"B","A"))))</f>
        <v>A</v>
      </c>
      <c r="L4" t="s">
        <v>18</v>
      </c>
      <c r="M4">
        <v>400</v>
      </c>
      <c r="N4" t="str">
        <f t="shared" si="4"/>
        <v>Sipariş Ver</v>
      </c>
    </row>
    <row r="5" spans="1:15" x14ac:dyDescent="0.2">
      <c r="A5" t="s">
        <v>19</v>
      </c>
      <c r="B5">
        <v>32</v>
      </c>
      <c r="C5">
        <v>23</v>
      </c>
      <c r="D5">
        <v>66</v>
      </c>
      <c r="E5" s="4">
        <f t="shared" si="0"/>
        <v>40.333333333333336</v>
      </c>
      <c r="F5" t="str">
        <f t="shared" si="1"/>
        <v>KALDI</v>
      </c>
      <c r="G5" s="6" t="str">
        <f t="shared" si="2"/>
        <v>Standart</v>
      </c>
      <c r="H5" s="6" t="str">
        <f t="shared" si="3"/>
        <v>100 Almamış</v>
      </c>
      <c r="I5" s="3"/>
      <c r="J5" s="6" t="str">
        <f>IF(E5&lt;25,"F", IF(E5&lt;45,"D",IF(E5&lt;70,"C",IF(E5&lt;85,"B",A))))</f>
        <v>D</v>
      </c>
      <c r="L5" t="s">
        <v>20</v>
      </c>
      <c r="M5">
        <v>250</v>
      </c>
      <c r="N5" t="str">
        <f t="shared" si="4"/>
        <v>Yeterli</v>
      </c>
      <c r="O5" s="3"/>
    </row>
    <row r="6" spans="1:15" x14ac:dyDescent="0.2">
      <c r="A6" t="s">
        <v>21</v>
      </c>
      <c r="B6">
        <v>67</v>
      </c>
      <c r="C6">
        <v>100</v>
      </c>
      <c r="D6">
        <v>73</v>
      </c>
      <c r="E6" s="4">
        <f t="shared" si="0"/>
        <v>80</v>
      </c>
      <c r="F6" t="str">
        <f t="shared" si="1"/>
        <v>GEÇTİ</v>
      </c>
      <c r="G6" s="6" t="str">
        <f t="shared" si="2"/>
        <v>Standart</v>
      </c>
      <c r="H6" s="6" t="str">
        <f t="shared" si="3"/>
        <v>100 Almış</v>
      </c>
      <c r="I6" s="3"/>
      <c r="J6" s="6" t="str">
        <f>IF(E6&lt;25,"F", IF(E6&lt;45,"D",IF(E6&lt;70,"C",IF(E6&lt;85,"B",A))))</f>
        <v>B</v>
      </c>
      <c r="L6" t="s">
        <v>22</v>
      </c>
      <c r="M6">
        <v>600</v>
      </c>
      <c r="N6" t="str">
        <f t="shared" si="4"/>
        <v>Sipariş Ver</v>
      </c>
    </row>
    <row r="7" spans="1:15" x14ac:dyDescent="0.2">
      <c r="A7" t="s">
        <v>23</v>
      </c>
      <c r="B7">
        <v>0</v>
      </c>
      <c r="C7">
        <v>48</v>
      </c>
      <c r="D7">
        <v>96</v>
      </c>
      <c r="E7" s="4">
        <f t="shared" si="0"/>
        <v>48</v>
      </c>
      <c r="F7" t="str">
        <f t="shared" si="1"/>
        <v>KALDI</v>
      </c>
      <c r="G7" s="6" t="str">
        <f t="shared" si="2"/>
        <v>Standart</v>
      </c>
      <c r="H7" s="6" t="str">
        <f t="shared" si="3"/>
        <v>100 Almamış</v>
      </c>
      <c r="I7" s="3"/>
      <c r="J7" s="6" t="str">
        <f>IF(E7&lt;25,"F", IF(E7&lt;45,"D",IF(E7&lt;70,"C",IF(E7&lt;85,"B",A))))</f>
        <v>C</v>
      </c>
    </row>
    <row r="8" spans="1:15" x14ac:dyDescent="0.2">
      <c r="A8" s="6" t="s">
        <v>24</v>
      </c>
      <c r="B8">
        <v>0</v>
      </c>
      <c r="C8">
        <v>7</v>
      </c>
      <c r="D8">
        <v>56</v>
      </c>
      <c r="E8" s="4">
        <f t="shared" si="0"/>
        <v>21</v>
      </c>
      <c r="F8" t="str">
        <f t="shared" si="1"/>
        <v>KALDI</v>
      </c>
      <c r="G8" s="6" t="str">
        <f t="shared" si="2"/>
        <v>Standart</v>
      </c>
      <c r="H8" s="6" t="str">
        <f t="shared" si="3"/>
        <v>100 Almamış</v>
      </c>
      <c r="I8" s="3"/>
      <c r="J8" s="6" t="str">
        <f>IF(E8&lt;25,"F", IF(E8&lt;45,"D",IF(E8&lt;70,"C",IF(E8&lt;85,"B",A))))</f>
        <v>F</v>
      </c>
    </row>
    <row r="9" spans="1:15" x14ac:dyDescent="0.2">
      <c r="A9" s="6" t="s">
        <v>25</v>
      </c>
      <c r="B9">
        <v>76</v>
      </c>
      <c r="C9">
        <v>9</v>
      </c>
      <c r="D9">
        <v>6</v>
      </c>
      <c r="E9" s="4">
        <f t="shared" si="0"/>
        <v>30.333333333333332</v>
      </c>
      <c r="F9" t="str">
        <f t="shared" si="1"/>
        <v>KALDI</v>
      </c>
      <c r="G9" s="6" t="str">
        <f t="shared" si="2"/>
        <v>Standart</v>
      </c>
      <c r="H9" s="6" t="str">
        <f t="shared" si="3"/>
        <v>100 Almamış</v>
      </c>
      <c r="I9" s="3"/>
      <c r="J9" s="6" t="str">
        <f>IF(E9&lt;25,"F", IF(E9&lt;45,"D",IF(E9&lt;70,"C",IF(E9&lt;85,"B",A))))</f>
        <v>D</v>
      </c>
    </row>
    <row r="10" spans="1:15" x14ac:dyDescent="0.2">
      <c r="A10" s="6" t="s">
        <v>26</v>
      </c>
      <c r="B10">
        <v>32</v>
      </c>
      <c r="C10">
        <v>7</v>
      </c>
      <c r="D10">
        <v>0</v>
      </c>
      <c r="E10" s="4">
        <f t="shared" si="0"/>
        <v>13</v>
      </c>
      <c r="F10" t="str">
        <f t="shared" si="1"/>
        <v>KALDI</v>
      </c>
      <c r="G10" s="6" t="str">
        <f t="shared" si="2"/>
        <v>Standart</v>
      </c>
      <c r="H10" s="6" t="str">
        <f t="shared" si="3"/>
        <v>100 Almamış</v>
      </c>
      <c r="I10" s="3"/>
      <c r="J10" s="6" t="str">
        <f>IF(E10&lt;25,"F", IF(E10&lt;45,"D",IF(E10&lt;70,"C",IF(E10&lt;85,"B",A))))</f>
        <v>F</v>
      </c>
    </row>
    <row r="11" spans="1:15" x14ac:dyDescent="0.2">
      <c r="A11" s="6" t="s">
        <v>27</v>
      </c>
      <c r="B11">
        <v>35</v>
      </c>
      <c r="C11">
        <v>96</v>
      </c>
      <c r="D11">
        <v>53</v>
      </c>
      <c r="E11" s="4">
        <f t="shared" si="0"/>
        <v>61.333333333333336</v>
      </c>
      <c r="F11" t="str">
        <f t="shared" si="1"/>
        <v>GEÇTİ</v>
      </c>
      <c r="G11" s="6" t="str">
        <f t="shared" si="2"/>
        <v>Standart</v>
      </c>
      <c r="H11" s="6" t="str">
        <f t="shared" si="3"/>
        <v>100 Almamış</v>
      </c>
      <c r="I11" s="3"/>
      <c r="J11" s="6" t="str">
        <f>IF(E11&lt;25,"F", IF(E11&lt;45,"D",IF(E11&lt;70,"C",IF(E11&lt;85,"B",A))))</f>
        <v>C</v>
      </c>
    </row>
    <row r="12" spans="1:15" x14ac:dyDescent="0.2">
      <c r="A12" s="6" t="s">
        <v>28</v>
      </c>
      <c r="B12">
        <v>100</v>
      </c>
      <c r="C12">
        <v>87</v>
      </c>
      <c r="D12">
        <v>100</v>
      </c>
      <c r="E12" s="4">
        <f t="shared" si="0"/>
        <v>95.666666666666671</v>
      </c>
      <c r="F12" t="str">
        <f t="shared" si="1"/>
        <v>GEÇTİ</v>
      </c>
      <c r="G12" s="6" t="str">
        <f t="shared" si="2"/>
        <v>Çalışkan</v>
      </c>
      <c r="H12" s="6" t="str">
        <f t="shared" si="3"/>
        <v>100 Almış</v>
      </c>
      <c r="I12" s="3"/>
      <c r="J12" s="6" t="str">
        <f>IF(E12&lt;25,"F", IF(E12&lt;45,"D",IF(E12&lt;70,"C",IF(E12&lt;85,"B","A"))))</f>
        <v>A</v>
      </c>
    </row>
    <row r="13" spans="1:15" x14ac:dyDescent="0.2">
      <c r="A13" s="6" t="s">
        <v>29</v>
      </c>
      <c r="B13">
        <v>30</v>
      </c>
      <c r="C13">
        <v>5</v>
      </c>
      <c r="D13">
        <v>68</v>
      </c>
      <c r="E13" s="4">
        <f t="shared" si="0"/>
        <v>34.333333333333336</v>
      </c>
      <c r="F13" t="str">
        <f t="shared" si="1"/>
        <v>KALDI</v>
      </c>
      <c r="G13" s="6" t="str">
        <f t="shared" si="2"/>
        <v>Standart</v>
      </c>
      <c r="H13" s="6" t="str">
        <f t="shared" si="3"/>
        <v>100 Almamış</v>
      </c>
      <c r="I13" s="3"/>
      <c r="J13" s="6" t="str">
        <f>IF(E13&lt;25,"F", IF(E13&lt;45,"D",IF(E13&lt;70,"C",IF(E13&lt;85,"B",A))))</f>
        <v>D</v>
      </c>
    </row>
    <row r="14" spans="1:15" x14ac:dyDescent="0.2">
      <c r="A14" s="6" t="s">
        <v>30</v>
      </c>
      <c r="B14">
        <v>1</v>
      </c>
      <c r="C14">
        <v>0</v>
      </c>
      <c r="D14">
        <v>65</v>
      </c>
      <c r="E14" s="4">
        <f t="shared" si="0"/>
        <v>22</v>
      </c>
      <c r="F14" t="str">
        <f t="shared" si="1"/>
        <v>KALDI</v>
      </c>
      <c r="G14" s="6" t="str">
        <f t="shared" si="2"/>
        <v>Standart</v>
      </c>
      <c r="H14" s="6" t="str">
        <f t="shared" si="3"/>
        <v>100 Almamış</v>
      </c>
      <c r="I14" s="3"/>
      <c r="J14" s="6" t="str">
        <f>IF(E14&lt;25,"F", IF(E14&lt;45,"D",IF(E14&lt;70,"C",IF(E14&lt;85,"B",A))))</f>
        <v>F</v>
      </c>
    </row>
    <row r="15" spans="1:15" x14ac:dyDescent="0.2">
      <c r="A15" s="6" t="s">
        <v>31</v>
      </c>
      <c r="B15">
        <v>51</v>
      </c>
      <c r="C15">
        <v>62</v>
      </c>
      <c r="D15">
        <v>39</v>
      </c>
      <c r="E15" s="4">
        <f t="shared" si="0"/>
        <v>50.666666666666664</v>
      </c>
      <c r="F15" t="str">
        <f t="shared" si="1"/>
        <v>GEÇTİ</v>
      </c>
      <c r="G15" s="6" t="str">
        <f t="shared" si="2"/>
        <v>Standart</v>
      </c>
      <c r="H15" s="6" t="str">
        <f t="shared" si="3"/>
        <v>100 Almamış</v>
      </c>
      <c r="I15" s="3"/>
      <c r="J15" s="6" t="str">
        <f>IF(E15&lt;25,"F", IF(E15&lt;45,"D",IF(E15&lt;70,"C",IF(E15&lt;85,"B",A))))</f>
        <v>C</v>
      </c>
    </row>
    <row r="16" spans="1:15" x14ac:dyDescent="0.2">
      <c r="A16" s="6" t="s">
        <v>32</v>
      </c>
      <c r="B16">
        <v>63</v>
      </c>
      <c r="C16">
        <v>14</v>
      </c>
      <c r="D16">
        <v>73</v>
      </c>
      <c r="E16" s="4">
        <f t="shared" si="0"/>
        <v>50</v>
      </c>
      <c r="F16" t="str">
        <f t="shared" si="1"/>
        <v>GEÇTİ</v>
      </c>
      <c r="G16" s="6" t="str">
        <f t="shared" si="2"/>
        <v>Standart</v>
      </c>
      <c r="H16" s="6" t="str">
        <f t="shared" si="3"/>
        <v>100 Almamış</v>
      </c>
      <c r="I16" s="3"/>
      <c r="J16" s="6" t="str">
        <f>IF(E16&lt;25,"F", IF(E16&lt;45,"D",IF(E16&lt;70,"C",IF(E16&lt;85,"B",A))))</f>
        <v>C</v>
      </c>
    </row>
    <row r="17" spans="7:10" x14ac:dyDescent="0.2">
      <c r="G17" s="6"/>
      <c r="H17" s="6"/>
      <c r="I17" s="6"/>
      <c r="J17" s="6"/>
    </row>
    <row r="18" spans="7:10" x14ac:dyDescent="0.2">
      <c r="G18" s="6"/>
      <c r="H18" s="6"/>
      <c r="I18" s="6"/>
      <c r="J18" s="6"/>
    </row>
    <row r="19" spans="7:10" x14ac:dyDescent="0.2">
      <c r="G19" s="6"/>
      <c r="H19" s="6"/>
      <c r="I19" s="6"/>
      <c r="J19" s="6"/>
    </row>
    <row r="20" spans="7:10" x14ac:dyDescent="0.2">
      <c r="G20" s="6"/>
      <c r="H20" s="6"/>
      <c r="I20" s="6"/>
      <c r="J20" s="6"/>
    </row>
  </sheetData>
  <customSheetViews>
    <customSheetView guid="{65C11F3C-D43F-4850-BF5E-CB6008E1E324}" scale="130" showRuler="0">
      <selection activeCell="F1" sqref="F1:G6"/>
      <pageMargins left="0" right="0" top="0" bottom="0" header="0" footer="0"/>
      <pageSetup paperSize="9" orientation="portrait" r:id="rId1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2"/>
  <headerFooter alignWithMargins="0"/>
  <ignoredErrors>
    <ignoredError sqref="J4 J12" formula="1"/>
  </ignoredError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265" zoomScaleNormal="265" workbookViewId="0">
      <selection activeCell="D2" sqref="D2:E7"/>
    </sheetView>
  </sheetViews>
  <sheetFormatPr defaultRowHeight="12.75" x14ac:dyDescent="0.2"/>
  <cols>
    <col min="2" max="3" width="16.85546875" bestFit="1" customWidth="1"/>
    <col min="4" max="4" width="11" customWidth="1"/>
  </cols>
  <sheetData>
    <row r="1" spans="1:8" x14ac:dyDescent="0.2">
      <c r="A1" s="7" t="s">
        <v>10</v>
      </c>
      <c r="B1" s="7" t="s">
        <v>33</v>
      </c>
      <c r="C1" s="7" t="s">
        <v>34</v>
      </c>
      <c r="D1" s="7" t="s">
        <v>35</v>
      </c>
      <c r="E1" s="7" t="s">
        <v>36</v>
      </c>
    </row>
    <row r="2" spans="1:8" x14ac:dyDescent="0.2">
      <c r="A2" t="s">
        <v>14</v>
      </c>
      <c r="B2" s="2">
        <v>500000</v>
      </c>
      <c r="C2" s="2">
        <v>950000</v>
      </c>
    </row>
    <row r="3" spans="1:8" x14ac:dyDescent="0.2">
      <c r="A3" t="s">
        <v>16</v>
      </c>
      <c r="B3" s="2">
        <v>200000</v>
      </c>
      <c r="C3" s="2">
        <v>500000</v>
      </c>
    </row>
    <row r="4" spans="1:8" x14ac:dyDescent="0.2">
      <c r="A4" t="s">
        <v>18</v>
      </c>
      <c r="B4" s="2">
        <v>345000</v>
      </c>
      <c r="C4" s="2">
        <v>300000</v>
      </c>
    </row>
    <row r="5" spans="1:8" x14ac:dyDescent="0.2">
      <c r="A5" t="s">
        <v>20</v>
      </c>
      <c r="B5" s="2">
        <v>250000</v>
      </c>
      <c r="C5" s="2">
        <v>700000</v>
      </c>
    </row>
    <row r="6" spans="1:8" x14ac:dyDescent="0.2">
      <c r="A6" t="s">
        <v>22</v>
      </c>
      <c r="B6" s="2">
        <v>600000</v>
      </c>
      <c r="C6" s="2">
        <v>500000</v>
      </c>
    </row>
    <row r="9" spans="1:8" x14ac:dyDescent="0.2">
      <c r="C9" s="1"/>
    </row>
    <row r="13" spans="1:8" x14ac:dyDescent="0.2">
      <c r="H13" s="5"/>
    </row>
    <row r="14" spans="1:8" x14ac:dyDescent="0.2">
      <c r="H14" s="6"/>
    </row>
  </sheetData>
  <customSheetViews>
    <customSheetView guid="{65C11F3C-D43F-4850-BF5E-CB6008E1E324}" scale="130" showRuler="0">
      <selection activeCell="B5" sqref="B5"/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Eğer</vt:lpstr>
      <vt:lpstr>Eğer 2</vt:lpstr>
    </vt:vector>
  </TitlesOfParts>
  <Manager/>
  <Company>BilgeAdam BTA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Muhammet</dc:creator>
  <cp:keywords/>
  <dc:description/>
  <cp:lastModifiedBy>Emre</cp:lastModifiedBy>
  <cp:revision/>
  <dcterms:created xsi:type="dcterms:W3CDTF">2008-04-19T11:26:05Z</dcterms:created>
  <dcterms:modified xsi:type="dcterms:W3CDTF">2026-02-23T20:32:11Z</dcterms:modified>
  <cp:category/>
  <cp:contentStatus/>
</cp:coreProperties>
</file>