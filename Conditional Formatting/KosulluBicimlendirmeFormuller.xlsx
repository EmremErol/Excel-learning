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Conditional Formatting\"/>
    </mc:Choice>
  </mc:AlternateContent>
  <bookViews>
    <workbookView xWindow="0" yWindow="0" windowWidth="20490" windowHeight="7635" firstSheet="1" activeTab="2"/>
  </bookViews>
  <sheets>
    <sheet name="SORU1 " sheetId="4" state="hidden" r:id="rId1"/>
    <sheet name="Sayfa1" sheetId="5" r:id="rId2"/>
    <sheet name="Sayfa2" sheetId="6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" i="6"/>
</calcChain>
</file>

<file path=xl/sharedStrings.xml><?xml version="1.0" encoding="utf-8"?>
<sst xmlns="http://schemas.openxmlformats.org/spreadsheetml/2006/main" count="158" uniqueCount="81">
  <si>
    <t>Bölgeler</t>
  </si>
  <si>
    <t>İller</t>
  </si>
  <si>
    <t>Gelir</t>
  </si>
  <si>
    <t>Gider</t>
  </si>
  <si>
    <t>Net</t>
  </si>
  <si>
    <t>Marmara</t>
  </si>
  <si>
    <t>Akdeniz</t>
  </si>
  <si>
    <t>Karadeniz</t>
  </si>
  <si>
    <t>Ege</t>
  </si>
  <si>
    <t>İstanbul</t>
  </si>
  <si>
    <t>Antalya</t>
  </si>
  <si>
    <t>Adana</t>
  </si>
  <si>
    <t>Mersin</t>
  </si>
  <si>
    <t>İskenderun</t>
  </si>
  <si>
    <t>İzmir</t>
  </si>
  <si>
    <t>Manisa</t>
  </si>
  <si>
    <t>Denizli</t>
  </si>
  <si>
    <t>Muğla</t>
  </si>
  <si>
    <t>Afyon</t>
  </si>
  <si>
    <t>Balıkesir</t>
  </si>
  <si>
    <t>Trabzon</t>
  </si>
  <si>
    <t>Rize</t>
  </si>
  <si>
    <t>Samsun</t>
  </si>
  <si>
    <t>Zonguldak</t>
  </si>
  <si>
    <t>Sinop</t>
  </si>
  <si>
    <t>Edirne</t>
  </si>
  <si>
    <t>Tekirdağ</t>
  </si>
  <si>
    <t>Çanakkale</t>
  </si>
  <si>
    <t>Yalova</t>
  </si>
  <si>
    <t>Aydın</t>
  </si>
  <si>
    <t>Burdur</t>
  </si>
  <si>
    <t>Bayii</t>
  </si>
  <si>
    <t>Cuma Kılıç</t>
  </si>
  <si>
    <t>Hadi İstanbullu</t>
  </si>
  <si>
    <t>Ramazan Coşkun</t>
  </si>
  <si>
    <t>Sibel Demir</t>
  </si>
  <si>
    <t>Metin Koçyiğit</t>
  </si>
  <si>
    <t>Şemsettin Aksay</t>
  </si>
  <si>
    <t>Ali Oktay Koç</t>
  </si>
  <si>
    <t>Damla Diker</t>
  </si>
  <si>
    <t>Şehabettin Gündoğdu</t>
  </si>
  <si>
    <t>Hülya Toprak</t>
  </si>
  <si>
    <t>Sevil Çetinkaya</t>
  </si>
  <si>
    <t>Soner Bereket</t>
  </si>
  <si>
    <t>Esat Çetin Musabeyli</t>
  </si>
  <si>
    <t>Orçun Doğan</t>
  </si>
  <si>
    <t>Necmettin Yemiş</t>
  </si>
  <si>
    <t>Sıtkı Işıt</t>
  </si>
  <si>
    <t>Emrah Kırımsoy</t>
  </si>
  <si>
    <t>Dilek Gürbüz</t>
  </si>
  <si>
    <t>Taylan Denizhan</t>
  </si>
  <si>
    <t>Ahmet Akgüneş</t>
  </si>
  <si>
    <t>Ahmet Malik Yüce</t>
  </si>
  <si>
    <t>Ayan Öztürk</t>
  </si>
  <si>
    <t>Engin Özdemir</t>
  </si>
  <si>
    <t>Hüseyin Anılan</t>
  </si>
  <si>
    <t>İbrahim Taha Esengün</t>
  </si>
  <si>
    <t>Kenan Arıbaş</t>
  </si>
  <si>
    <t>Murat Mandıracı</t>
  </si>
  <si>
    <t>Önerbay Ertuğrul</t>
  </si>
  <si>
    <t>Pınar Girmen</t>
  </si>
  <si>
    <t>Suat Çelik</t>
  </si>
  <si>
    <t>Taner Yılmaz</t>
  </si>
  <si>
    <t>Burak Öztemel</t>
  </si>
  <si>
    <t>Deniz Kite</t>
  </si>
  <si>
    <t>Levent Koç</t>
  </si>
  <si>
    <t>Özge Dinçer</t>
  </si>
  <si>
    <t>Behice Keleş</t>
  </si>
  <si>
    <t>Ergun Kaya</t>
  </si>
  <si>
    <t>Hasan Coşkun</t>
  </si>
  <si>
    <t>Osman Şibik</t>
  </si>
  <si>
    <t>Ayça Kayaş</t>
  </si>
  <si>
    <t>Azem Alptekin</t>
  </si>
  <si>
    <t>Kerem Köker</t>
  </si>
  <si>
    <t>Yasin Uygur</t>
  </si>
  <si>
    <t>Ayhan Özmekik</t>
  </si>
  <si>
    <t>Buket Erezcan</t>
  </si>
  <si>
    <t>Gülten Seha Gültekin</t>
  </si>
  <si>
    <t>Koray Cengiz</t>
  </si>
  <si>
    <t>Marmara Denizi</t>
  </si>
  <si>
    <t>Marmara Bölgesi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</si>
</sst>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&quot;TL&quot;"/>
  </numFmts>
  <fonts count="21" x14ac:knownFonts="1">
    <font>
      <sz val="10"/>
      <name val="Arial"/>
      <charset val="162"/>
    </font>
    <font>
      <b/>
      <sz val="15"/>
      <color indexed="62"/>
      <name val="Calibri"/>
      <family val="2"/>
      <charset val="162"/>
    </font>
    <font>
      <sz val="10"/>
      <name val="Verdana"/>
      <family val="2"/>
      <charset val="162"/>
    </font>
    <font>
      <sz val="11"/>
      <color indexed="8"/>
      <name val="Tahoma"/>
      <family val="2"/>
      <charset val="162"/>
    </font>
    <font>
      <b/>
      <sz val="18"/>
      <color indexed="62"/>
      <name val="Cambria"/>
      <family val="2"/>
      <charset val="162"/>
    </font>
    <font>
      <b/>
      <sz val="13"/>
      <color indexed="62"/>
      <name val="Arial"/>
      <family val="2"/>
      <charset val="162"/>
    </font>
    <font>
      <b/>
      <sz val="11"/>
      <color indexed="62"/>
      <name val="Arial"/>
      <family val="2"/>
      <charset val="162"/>
    </font>
    <font>
      <sz val="10"/>
      <color indexed="17"/>
      <name val="Arial"/>
      <family val="2"/>
      <charset val="162"/>
    </font>
    <font>
      <sz val="10"/>
      <color indexed="16"/>
      <name val="Arial"/>
      <family val="2"/>
      <charset val="162"/>
    </font>
    <font>
      <sz val="10"/>
      <color indexed="60"/>
      <name val="Arial"/>
      <family val="2"/>
      <charset val="162"/>
    </font>
    <font>
      <b/>
      <sz val="10"/>
      <color indexed="8"/>
      <name val="Arial"/>
      <family val="2"/>
      <charset val="162"/>
    </font>
    <font>
      <sz val="10"/>
      <color indexed="62"/>
      <name val="Arial"/>
      <family val="2"/>
      <charset val="162"/>
    </font>
    <font>
      <b/>
      <sz val="10"/>
      <color indexed="63"/>
      <name val="Arial"/>
      <family val="2"/>
      <charset val="162"/>
    </font>
    <font>
      <b/>
      <sz val="10"/>
      <color indexed="53"/>
      <name val="Arial"/>
      <family val="2"/>
      <charset val="162"/>
    </font>
    <font>
      <sz val="10"/>
      <color indexed="53"/>
      <name val="Arial"/>
      <family val="2"/>
      <charset val="162"/>
    </font>
    <font>
      <b/>
      <sz val="10"/>
      <color indexed="9"/>
      <name val="Arial"/>
      <family val="2"/>
      <charset val="162"/>
    </font>
    <font>
      <sz val="10"/>
      <color indexed="10"/>
      <name val="Arial"/>
      <family val="2"/>
      <charset val="162"/>
    </font>
    <font>
      <sz val="10"/>
      <name val="Arial"/>
      <family val="2"/>
      <charset val="162"/>
    </font>
    <font>
      <sz val="10"/>
      <color indexed="9"/>
      <name val="Arial"/>
      <family val="2"/>
      <charset val="162"/>
    </font>
    <font>
      <sz val="10"/>
      <color indexed="8"/>
      <name val="Arial"/>
      <family val="2"/>
      <charset val="162"/>
    </font>
    <font>
      <sz val="10"/>
      <color theme="0"/>
      <name val="Arial"/>
      <family val="2"/>
      <charset val="162"/>
    </font>
  </fonts>
  <fills count="23">
    <fill>
      <patternFill patternType="none"/>
    </fill>
    <fill>
      <patternFill patternType="gray125"/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8" fillId="7" borderId="0" applyNumberFormat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12" borderId="0" applyNumberFormat="0" applyBorder="0" applyAlignment="0" applyProtection="0"/>
    <xf numFmtId="0" fontId="19" fillId="6" borderId="0" applyNumberFormat="0" applyBorder="0" applyAlignment="0" applyProtection="0"/>
    <xf numFmtId="0" fontId="19" fillId="13" borderId="0" applyNumberFormat="0" applyBorder="0" applyAlignment="0" applyProtection="0"/>
    <xf numFmtId="0" fontId="18" fillId="13" borderId="0" applyNumberFormat="0" applyBorder="0" applyAlignment="0" applyProtection="0"/>
    <xf numFmtId="0" fontId="8" fillId="14" borderId="0" applyNumberFormat="0" applyBorder="0" applyAlignment="0" applyProtection="0"/>
    <xf numFmtId="0" fontId="13" fillId="15" borderId="1" applyNumberFormat="0" applyAlignment="0" applyProtection="0"/>
    <xf numFmtId="0" fontId="15" fillId="8" borderId="2" applyNumberFormat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7" fillId="9" borderId="0" applyNumberFormat="0" applyBorder="0" applyAlignment="0" applyProtection="0"/>
    <xf numFmtId="0" fontId="1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1" fillId="13" borderId="1" applyNumberFormat="0" applyAlignment="0" applyProtection="0"/>
    <xf numFmtId="0" fontId="14" fillId="0" borderId="6" applyNumberFormat="0" applyFill="0" applyAlignment="0" applyProtection="0"/>
    <xf numFmtId="0" fontId="9" fillId="19" borderId="0" applyNumberFormat="0" applyBorder="0" applyAlignment="0" applyProtection="0"/>
    <xf numFmtId="0" fontId="17" fillId="6" borderId="7" applyNumberFormat="0" applyFont="0" applyAlignment="0" applyProtection="0"/>
    <xf numFmtId="0" fontId="12" fillId="15" borderId="8" applyNumberFormat="0" applyAlignment="0" applyProtection="0"/>
    <xf numFmtId="0" fontId="4" fillId="0" borderId="0" applyNumberFormat="0" applyFill="0" applyBorder="0" applyAlignment="0" applyProtection="0"/>
    <xf numFmtId="0" fontId="10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3" xfId="32" applyFont="1" applyAlignment="1">
      <alignment vertical="center"/>
    </xf>
    <xf numFmtId="0" fontId="1" fillId="0" borderId="3" xfId="32" applyFont="1" applyAlignment="1">
      <alignment horizontal="center" vertical="center"/>
    </xf>
    <xf numFmtId="0" fontId="2" fillId="0" borderId="10" xfId="0" applyFont="1" applyBorder="1"/>
    <xf numFmtId="0" fontId="3" fillId="0" borderId="0" xfId="0" applyFont="1" applyAlignment="1">
      <alignment horizontal="center" vertical="center"/>
    </xf>
    <xf numFmtId="0" fontId="0" fillId="0" borderId="0" xfId="0" applyBorder="1"/>
    <xf numFmtId="164" fontId="0" fillId="0" borderId="0" xfId="0" applyNumberFormat="1" applyBorder="1"/>
    <xf numFmtId="0" fontId="17" fillId="0" borderId="0" xfId="0" applyFont="1" applyBorder="1"/>
    <xf numFmtId="0" fontId="0" fillId="21" borderId="0" xfId="0" applyFill="1" applyBorder="1"/>
    <xf numFmtId="164" fontId="0" fillId="21" borderId="0" xfId="0" applyNumberFormat="1" applyFill="1" applyBorder="1"/>
    <xf numFmtId="0" fontId="20" fillId="20" borderId="11" xfId="0" applyFont="1" applyFill="1" applyBorder="1"/>
    <xf numFmtId="0" fontId="20" fillId="20" borderId="12" xfId="0" applyFont="1" applyFill="1" applyBorder="1"/>
    <xf numFmtId="0" fontId="20" fillId="20" borderId="13" xfId="0" applyFont="1" applyFill="1" applyBorder="1"/>
    <xf numFmtId="0" fontId="0" fillId="0" borderId="14" xfId="0" applyBorder="1"/>
    <xf numFmtId="164" fontId="0" fillId="0" borderId="15" xfId="0" applyNumberFormat="1" applyBorder="1"/>
    <xf numFmtId="0" fontId="0" fillId="21" borderId="14" xfId="0" applyFill="1" applyBorder="1"/>
    <xf numFmtId="0" fontId="0" fillId="0" borderId="16" xfId="0" applyBorder="1"/>
    <xf numFmtId="0" fontId="0" fillId="0" borderId="17" xfId="0" applyBorder="1"/>
    <xf numFmtId="164" fontId="0" fillId="0" borderId="17" xfId="0" applyNumberFormat="1" applyBorder="1"/>
    <xf numFmtId="164" fontId="0" fillId="0" borderId="18" xfId="0" applyNumberFormat="1" applyBorder="1"/>
    <xf numFmtId="164" fontId="0" fillId="0" borderId="0" xfId="0" applyNumberFormat="1"/>
    <xf numFmtId="0" fontId="20" fillId="22" borderId="0" xfId="0" applyFont="1" applyFill="1"/>
  </cellXfs>
  <cellStyles count="44">
    <cellStyle name="Accent1" xfId="1"/>
    <cellStyle name="Accent1 - 20%" xfId="2"/>
    <cellStyle name="Accent1 - 40%" xfId="3"/>
    <cellStyle name="Accent1 - 60%" xfId="4"/>
    <cellStyle name="Accent2" xfId="5"/>
    <cellStyle name="Accent2 - 20%" xfId="6"/>
    <cellStyle name="Accent2 - 40%" xfId="7"/>
    <cellStyle name="Accent2 - 60%" xfId="8"/>
    <cellStyle name="Accent3" xfId="9"/>
    <cellStyle name="Accent3 - 20%" xfId="10"/>
    <cellStyle name="Accent3 - 40%" xfId="11"/>
    <cellStyle name="Accent3 - 60%" xfId="12"/>
    <cellStyle name="Accent4" xfId="13"/>
    <cellStyle name="Accent4 - 20%" xfId="14"/>
    <cellStyle name="Accent4 - 40%" xfId="15"/>
    <cellStyle name="Accent4 - 60%" xfId="16"/>
    <cellStyle name="Accent5" xfId="17"/>
    <cellStyle name="Accent5 - 20%" xfId="18"/>
    <cellStyle name="Accent5 - 40%" xfId="19"/>
    <cellStyle name="Accent5 - 60%" xfId="20"/>
    <cellStyle name="Accent6" xfId="21"/>
    <cellStyle name="Accent6 - 20%" xfId="22"/>
    <cellStyle name="Accent6 - 40%" xfId="23"/>
    <cellStyle name="Accent6 - 60%" xfId="24"/>
    <cellStyle name="Bad" xfId="25"/>
    <cellStyle name="Calculation" xfId="26"/>
    <cellStyle name="Check Cell" xfId="27"/>
    <cellStyle name="Emphasis 1" xfId="28"/>
    <cellStyle name="Emphasis 2" xfId="29"/>
    <cellStyle name="Emphasis 3" xfId="30"/>
    <cellStyle name="Good" xfId="31"/>
    <cellStyle name="Heading 1" xfId="32"/>
    <cellStyle name="Heading 2" xfId="33"/>
    <cellStyle name="Heading 3" xfId="34"/>
    <cellStyle name="Heading 4" xfId="35"/>
    <cellStyle name="Input" xfId="36"/>
    <cellStyle name="Linked Cell" xfId="37"/>
    <cellStyle name="Neutral" xfId="38"/>
    <cellStyle name="Normal" xfId="0" builtinId="0"/>
    <cellStyle name="Note" xfId="39"/>
    <cellStyle name="Output" xfId="40"/>
    <cellStyle name="Sheet Title" xfId="41"/>
    <cellStyle name="Total" xfId="42"/>
    <cellStyle name="Warning Text" xfId="43"/>
  </cellStyles>
  <dxfs count="22"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3499862666707357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48"/>
  <sheetViews>
    <sheetView workbookViewId="0">
      <selection activeCell="B2" sqref="B2"/>
    </sheetView>
  </sheetViews>
  <sheetFormatPr defaultRowHeight="12.75" x14ac:dyDescent="0.2"/>
  <cols>
    <col min="1" max="1" width="16.28515625" customWidth="1"/>
    <col min="2" max="2" width="17.7109375" customWidth="1"/>
    <col min="3" max="3" width="18" customWidth="1"/>
    <col min="4" max="4" width="14.85546875" customWidth="1"/>
  </cols>
  <sheetData>
    <row r="1" spans="1:13" ht="20.25" thickBot="1" x14ac:dyDescent="0.25">
      <c r="A1" s="1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 thickTop="1" x14ac:dyDescent="0.2">
      <c r="A2" s="3" t="s">
        <v>32</v>
      </c>
      <c r="B2" s="4">
        <v>12</v>
      </c>
      <c r="C2" s="4">
        <v>0</v>
      </c>
      <c r="D2" s="4">
        <v>78</v>
      </c>
      <c r="E2" s="4">
        <v>26</v>
      </c>
      <c r="F2" s="4">
        <v>37</v>
      </c>
      <c r="G2" s="4">
        <v>76</v>
      </c>
      <c r="H2" s="4">
        <v>18</v>
      </c>
      <c r="I2" s="4">
        <v>40</v>
      </c>
      <c r="J2" s="4">
        <v>49</v>
      </c>
      <c r="K2" s="4">
        <v>81</v>
      </c>
      <c r="L2" s="4">
        <v>47</v>
      </c>
      <c r="M2" s="4">
        <v>47</v>
      </c>
    </row>
    <row r="3" spans="1:13" ht="14.25" x14ac:dyDescent="0.2">
      <c r="A3" s="3" t="s">
        <v>33</v>
      </c>
      <c r="B3" s="4">
        <v>33</v>
      </c>
      <c r="C3" s="4">
        <v>37</v>
      </c>
      <c r="D3" s="4">
        <v>3</v>
      </c>
      <c r="E3" s="4">
        <v>26</v>
      </c>
      <c r="F3" s="4">
        <v>11</v>
      </c>
      <c r="G3" s="4">
        <v>1</v>
      </c>
      <c r="H3" s="4">
        <v>51</v>
      </c>
      <c r="I3" s="4">
        <v>96</v>
      </c>
      <c r="J3" s="4">
        <v>82</v>
      </c>
      <c r="K3" s="4">
        <v>79</v>
      </c>
      <c r="L3" s="4">
        <v>80</v>
      </c>
      <c r="M3" s="4">
        <v>36</v>
      </c>
    </row>
    <row r="4" spans="1:13" ht="14.25" x14ac:dyDescent="0.2">
      <c r="A4" s="3" t="s">
        <v>34</v>
      </c>
      <c r="B4" s="4">
        <v>80</v>
      </c>
      <c r="C4" s="4">
        <v>97</v>
      </c>
      <c r="D4" s="4">
        <v>35</v>
      </c>
      <c r="E4" s="4">
        <v>9</v>
      </c>
      <c r="F4" s="4">
        <v>83</v>
      </c>
      <c r="G4" s="4">
        <v>68</v>
      </c>
      <c r="H4" s="4">
        <v>86</v>
      </c>
      <c r="I4" s="4">
        <v>59</v>
      </c>
      <c r="J4" s="4">
        <v>12</v>
      </c>
      <c r="K4" s="4">
        <v>98</v>
      </c>
      <c r="L4" s="4">
        <v>29</v>
      </c>
      <c r="M4" s="4">
        <v>18</v>
      </c>
    </row>
    <row r="5" spans="1:13" ht="14.25" x14ac:dyDescent="0.2">
      <c r="A5" s="3" t="s">
        <v>35</v>
      </c>
      <c r="B5" s="4">
        <v>65</v>
      </c>
      <c r="C5" s="4">
        <v>87</v>
      </c>
      <c r="D5" s="4">
        <v>81</v>
      </c>
      <c r="E5" s="4">
        <v>94</v>
      </c>
      <c r="F5" s="4">
        <v>37</v>
      </c>
      <c r="G5" s="4">
        <v>0</v>
      </c>
      <c r="H5" s="4">
        <v>34</v>
      </c>
      <c r="I5" s="4">
        <v>33</v>
      </c>
      <c r="J5" s="4">
        <v>26</v>
      </c>
      <c r="K5" s="4">
        <v>46</v>
      </c>
      <c r="L5" s="4">
        <v>72</v>
      </c>
      <c r="M5" s="4">
        <v>46</v>
      </c>
    </row>
    <row r="6" spans="1:13" ht="14.25" x14ac:dyDescent="0.2">
      <c r="A6" s="3" t="s">
        <v>36</v>
      </c>
      <c r="B6" s="4">
        <v>58</v>
      </c>
      <c r="C6" s="4">
        <v>33</v>
      </c>
      <c r="D6" s="4">
        <v>56</v>
      </c>
      <c r="E6" s="4">
        <v>16</v>
      </c>
      <c r="F6" s="4">
        <v>40</v>
      </c>
      <c r="G6" s="4">
        <v>27</v>
      </c>
      <c r="H6" s="4">
        <v>64</v>
      </c>
      <c r="I6" s="4">
        <v>96</v>
      </c>
      <c r="J6" s="4">
        <v>54</v>
      </c>
      <c r="K6" s="4">
        <v>59</v>
      </c>
      <c r="L6" s="4">
        <v>42</v>
      </c>
      <c r="M6" s="4">
        <v>9</v>
      </c>
    </row>
    <row r="7" spans="1:13" ht="14.25" x14ac:dyDescent="0.2">
      <c r="A7" s="3" t="s">
        <v>37</v>
      </c>
      <c r="B7" s="4">
        <v>0</v>
      </c>
      <c r="C7" s="4">
        <v>35</v>
      </c>
      <c r="D7" s="4">
        <v>13</v>
      </c>
      <c r="E7" s="4">
        <v>31</v>
      </c>
      <c r="F7" s="4">
        <v>0</v>
      </c>
      <c r="G7" s="4">
        <v>44</v>
      </c>
      <c r="H7" s="4">
        <v>49</v>
      </c>
      <c r="I7" s="4">
        <v>2</v>
      </c>
      <c r="J7" s="4">
        <v>27</v>
      </c>
      <c r="K7" s="4">
        <v>69</v>
      </c>
      <c r="L7" s="4">
        <v>58</v>
      </c>
      <c r="M7" s="4">
        <v>81</v>
      </c>
    </row>
    <row r="8" spans="1:13" ht="14.25" x14ac:dyDescent="0.2">
      <c r="A8" s="3" t="s">
        <v>38</v>
      </c>
      <c r="B8" s="4">
        <v>27</v>
      </c>
      <c r="C8" s="4">
        <v>43</v>
      </c>
      <c r="D8" s="4">
        <v>53</v>
      </c>
      <c r="E8" s="4">
        <v>77</v>
      </c>
      <c r="F8" s="4">
        <v>33</v>
      </c>
      <c r="G8" s="4">
        <v>24</v>
      </c>
      <c r="H8" s="4">
        <v>19</v>
      </c>
      <c r="I8" s="4">
        <v>67</v>
      </c>
      <c r="J8" s="4">
        <v>67</v>
      </c>
      <c r="K8" s="4">
        <v>74</v>
      </c>
      <c r="L8" s="4">
        <v>82</v>
      </c>
      <c r="M8" s="4">
        <v>45</v>
      </c>
    </row>
    <row r="9" spans="1:13" ht="14.25" x14ac:dyDescent="0.2">
      <c r="A9" s="3" t="s">
        <v>39</v>
      </c>
      <c r="B9" s="4">
        <v>45</v>
      </c>
      <c r="C9" s="4">
        <v>75</v>
      </c>
      <c r="D9" s="4">
        <v>44</v>
      </c>
      <c r="E9" s="4">
        <v>35</v>
      </c>
      <c r="F9" s="4">
        <v>90</v>
      </c>
      <c r="G9" s="4">
        <v>75</v>
      </c>
      <c r="H9" s="4">
        <v>72</v>
      </c>
      <c r="I9" s="4">
        <v>7</v>
      </c>
      <c r="J9" s="4">
        <v>45</v>
      </c>
      <c r="K9" s="4">
        <v>35</v>
      </c>
      <c r="L9" s="4">
        <v>4</v>
      </c>
      <c r="M9" s="4">
        <v>73</v>
      </c>
    </row>
    <row r="10" spans="1:13" ht="14.25" x14ac:dyDescent="0.2">
      <c r="A10" s="3" t="s">
        <v>40</v>
      </c>
      <c r="B10" s="4">
        <v>4</v>
      </c>
      <c r="C10" s="4">
        <v>8</v>
      </c>
      <c r="D10" s="4">
        <v>44</v>
      </c>
      <c r="E10" s="4">
        <v>74</v>
      </c>
      <c r="F10" s="4">
        <v>35</v>
      </c>
      <c r="G10" s="4">
        <v>39</v>
      </c>
      <c r="H10" s="4">
        <v>35</v>
      </c>
      <c r="I10" s="4">
        <v>71</v>
      </c>
      <c r="J10" s="4">
        <v>39</v>
      </c>
      <c r="K10" s="4">
        <v>41</v>
      </c>
      <c r="L10" s="4">
        <v>4</v>
      </c>
      <c r="M10" s="4">
        <v>31</v>
      </c>
    </row>
    <row r="11" spans="1:13" ht="14.25" x14ac:dyDescent="0.2">
      <c r="A11" s="3" t="s">
        <v>41</v>
      </c>
      <c r="B11" s="4">
        <v>85</v>
      </c>
      <c r="C11" s="4">
        <v>42</v>
      </c>
      <c r="D11" s="4">
        <v>78</v>
      </c>
      <c r="E11" s="4">
        <v>56</v>
      </c>
      <c r="F11" s="4">
        <v>27</v>
      </c>
      <c r="G11" s="4">
        <v>43</v>
      </c>
      <c r="H11" s="4">
        <v>27</v>
      </c>
      <c r="I11" s="4">
        <v>74</v>
      </c>
      <c r="J11" s="4">
        <v>74</v>
      </c>
      <c r="K11" s="4">
        <v>24</v>
      </c>
      <c r="L11" s="4">
        <v>65</v>
      </c>
      <c r="M11" s="4">
        <v>32</v>
      </c>
    </row>
    <row r="12" spans="1:13" ht="14.25" x14ac:dyDescent="0.2">
      <c r="A12" s="3" t="s">
        <v>42</v>
      </c>
      <c r="B12" s="4">
        <v>31</v>
      </c>
      <c r="C12" s="4">
        <v>60</v>
      </c>
      <c r="D12" s="4">
        <v>68</v>
      </c>
      <c r="E12" s="4">
        <v>52</v>
      </c>
      <c r="F12" s="4">
        <v>7</v>
      </c>
      <c r="G12" s="4">
        <v>62</v>
      </c>
      <c r="H12" s="4">
        <v>70</v>
      </c>
      <c r="I12" s="4">
        <v>98</v>
      </c>
      <c r="J12" s="4">
        <v>36</v>
      </c>
      <c r="K12" s="4">
        <v>79</v>
      </c>
      <c r="L12" s="4">
        <v>11</v>
      </c>
      <c r="M12" s="4">
        <v>55</v>
      </c>
    </row>
    <row r="13" spans="1:13" ht="14.25" x14ac:dyDescent="0.2">
      <c r="A13" s="3" t="s">
        <v>43</v>
      </c>
      <c r="B13" s="4">
        <v>83</v>
      </c>
      <c r="C13" s="4">
        <v>99</v>
      </c>
      <c r="D13" s="4">
        <v>59</v>
      </c>
      <c r="E13" s="4">
        <v>45</v>
      </c>
      <c r="F13" s="4">
        <v>56</v>
      </c>
      <c r="G13" s="4">
        <v>12</v>
      </c>
      <c r="H13" s="4">
        <v>52</v>
      </c>
      <c r="I13" s="4">
        <v>100</v>
      </c>
      <c r="J13" s="4">
        <v>88</v>
      </c>
      <c r="K13" s="4">
        <v>93</v>
      </c>
      <c r="L13" s="4">
        <v>19</v>
      </c>
      <c r="M13" s="4">
        <v>1</v>
      </c>
    </row>
    <row r="14" spans="1:13" ht="14.25" x14ac:dyDescent="0.2">
      <c r="A14" s="3" t="s">
        <v>44</v>
      </c>
      <c r="B14" s="4">
        <v>87</v>
      </c>
      <c r="C14" s="4">
        <v>42</v>
      </c>
      <c r="D14" s="4">
        <v>33</v>
      </c>
      <c r="E14" s="4">
        <v>31</v>
      </c>
      <c r="F14" s="4">
        <v>38</v>
      </c>
      <c r="G14" s="4">
        <v>49</v>
      </c>
      <c r="H14" s="4">
        <v>30</v>
      </c>
      <c r="I14" s="4">
        <v>11</v>
      </c>
      <c r="J14" s="4">
        <v>10</v>
      </c>
      <c r="K14" s="4">
        <v>6</v>
      </c>
      <c r="L14" s="4">
        <v>0</v>
      </c>
      <c r="M14" s="4">
        <v>98</v>
      </c>
    </row>
    <row r="15" spans="1:13" ht="14.25" x14ac:dyDescent="0.2">
      <c r="A15" s="3" t="s">
        <v>45</v>
      </c>
      <c r="B15" s="4">
        <v>38</v>
      </c>
      <c r="C15" s="4">
        <v>78</v>
      </c>
      <c r="D15" s="4">
        <v>96</v>
      </c>
      <c r="E15" s="4">
        <v>91</v>
      </c>
      <c r="F15" s="4">
        <v>19</v>
      </c>
      <c r="G15" s="4">
        <v>84</v>
      </c>
      <c r="H15" s="4">
        <v>5</v>
      </c>
      <c r="I15" s="4">
        <v>22</v>
      </c>
      <c r="J15" s="4">
        <v>41</v>
      </c>
      <c r="K15" s="4">
        <v>69</v>
      </c>
      <c r="L15" s="4">
        <v>99</v>
      </c>
      <c r="M15" s="4">
        <v>76</v>
      </c>
    </row>
    <row r="16" spans="1:13" ht="14.25" x14ac:dyDescent="0.2">
      <c r="A16" s="3" t="s">
        <v>46</v>
      </c>
      <c r="B16" s="4">
        <v>51</v>
      </c>
      <c r="C16" s="4">
        <v>43</v>
      </c>
      <c r="D16" s="4">
        <v>19</v>
      </c>
      <c r="E16" s="4">
        <v>8</v>
      </c>
      <c r="F16" s="4">
        <v>9</v>
      </c>
      <c r="G16" s="4">
        <v>96</v>
      </c>
      <c r="H16" s="4">
        <v>1</v>
      </c>
      <c r="I16" s="4">
        <v>99</v>
      </c>
      <c r="J16" s="4">
        <v>21</v>
      </c>
      <c r="K16" s="4">
        <v>31</v>
      </c>
      <c r="L16" s="4">
        <v>19</v>
      </c>
      <c r="M16" s="4">
        <v>71</v>
      </c>
    </row>
    <row r="17" spans="1:13" ht="14.25" x14ac:dyDescent="0.2">
      <c r="A17" s="3" t="s">
        <v>47</v>
      </c>
      <c r="B17" s="4">
        <v>46</v>
      </c>
      <c r="C17" s="4">
        <v>59</v>
      </c>
      <c r="D17" s="4">
        <v>46</v>
      </c>
      <c r="E17" s="4">
        <v>85</v>
      </c>
      <c r="F17" s="4">
        <v>64</v>
      </c>
      <c r="G17" s="4">
        <v>90</v>
      </c>
      <c r="H17" s="4">
        <v>57</v>
      </c>
      <c r="I17" s="4">
        <v>70</v>
      </c>
      <c r="J17" s="4">
        <v>68</v>
      </c>
      <c r="K17" s="4">
        <v>6</v>
      </c>
      <c r="L17" s="4">
        <v>62</v>
      </c>
      <c r="M17" s="4">
        <v>6</v>
      </c>
    </row>
    <row r="18" spans="1:13" ht="14.25" x14ac:dyDescent="0.2">
      <c r="A18" s="3" t="s">
        <v>48</v>
      </c>
      <c r="B18" s="4">
        <v>60</v>
      </c>
      <c r="C18" s="4">
        <v>42</v>
      </c>
      <c r="D18" s="4">
        <v>42</v>
      </c>
      <c r="E18" s="4">
        <v>49</v>
      </c>
      <c r="F18" s="4">
        <v>31</v>
      </c>
      <c r="G18" s="4">
        <v>27</v>
      </c>
      <c r="H18" s="4">
        <v>30</v>
      </c>
      <c r="I18" s="4">
        <v>47</v>
      </c>
      <c r="J18" s="4">
        <v>1</v>
      </c>
      <c r="K18" s="4">
        <v>14</v>
      </c>
      <c r="L18" s="4">
        <v>62</v>
      </c>
      <c r="M18" s="4">
        <v>0</v>
      </c>
    </row>
    <row r="19" spans="1:13" ht="14.25" x14ac:dyDescent="0.2">
      <c r="A19" s="3" t="s">
        <v>49</v>
      </c>
      <c r="B19" s="4">
        <v>0</v>
      </c>
      <c r="C19" s="4">
        <v>14</v>
      </c>
      <c r="D19" s="4">
        <v>12</v>
      </c>
      <c r="E19" s="4">
        <v>58</v>
      </c>
      <c r="F19" s="4">
        <v>58</v>
      </c>
      <c r="G19" s="4">
        <v>75</v>
      </c>
      <c r="H19" s="4">
        <v>66</v>
      </c>
      <c r="I19" s="4">
        <v>96</v>
      </c>
      <c r="J19" s="4">
        <v>85</v>
      </c>
      <c r="K19" s="4">
        <v>18</v>
      </c>
      <c r="L19" s="4">
        <v>33</v>
      </c>
      <c r="M19" s="4">
        <v>71</v>
      </c>
    </row>
    <row r="20" spans="1:13" ht="14.25" x14ac:dyDescent="0.2">
      <c r="A20" s="3" t="s">
        <v>50</v>
      </c>
      <c r="B20" s="4">
        <v>96</v>
      </c>
      <c r="C20" s="4">
        <v>99</v>
      </c>
      <c r="D20" s="4">
        <v>48</v>
      </c>
      <c r="E20" s="4">
        <v>0</v>
      </c>
      <c r="F20" s="4">
        <v>70</v>
      </c>
      <c r="G20" s="4">
        <v>13</v>
      </c>
      <c r="H20" s="4">
        <v>21</v>
      </c>
      <c r="I20" s="4">
        <v>12</v>
      </c>
      <c r="J20" s="4">
        <v>30</v>
      </c>
      <c r="K20" s="4">
        <v>2</v>
      </c>
      <c r="L20" s="4">
        <v>53</v>
      </c>
      <c r="M20" s="4">
        <v>43</v>
      </c>
    </row>
    <row r="21" spans="1:13" ht="14.25" x14ac:dyDescent="0.2">
      <c r="A21" s="3" t="s">
        <v>51</v>
      </c>
      <c r="B21" s="4">
        <v>0</v>
      </c>
      <c r="C21" s="4">
        <v>70</v>
      </c>
      <c r="D21" s="4">
        <v>57</v>
      </c>
      <c r="E21" s="4">
        <v>35</v>
      </c>
      <c r="F21" s="4">
        <v>56</v>
      </c>
      <c r="G21" s="4">
        <v>60</v>
      </c>
      <c r="H21" s="4">
        <v>30</v>
      </c>
      <c r="I21" s="4">
        <v>49</v>
      </c>
      <c r="J21" s="4">
        <v>89</v>
      </c>
      <c r="K21" s="4">
        <v>89</v>
      </c>
      <c r="L21" s="4">
        <v>12</v>
      </c>
      <c r="M21" s="4">
        <v>6</v>
      </c>
    </row>
    <row r="22" spans="1:13" ht="14.25" x14ac:dyDescent="0.2">
      <c r="A22" s="3" t="s">
        <v>52</v>
      </c>
      <c r="B22" s="4">
        <v>49</v>
      </c>
      <c r="C22" s="4">
        <v>45</v>
      </c>
      <c r="D22" s="4">
        <v>80</v>
      </c>
      <c r="E22" s="4">
        <v>84</v>
      </c>
      <c r="F22" s="4">
        <v>58</v>
      </c>
      <c r="G22" s="4">
        <v>1</v>
      </c>
      <c r="H22" s="4">
        <v>0</v>
      </c>
      <c r="I22" s="4">
        <v>9</v>
      </c>
      <c r="J22" s="4">
        <v>12</v>
      </c>
      <c r="K22" s="4">
        <v>41</v>
      </c>
      <c r="L22" s="4">
        <v>37</v>
      </c>
      <c r="M22" s="4">
        <v>11</v>
      </c>
    </row>
    <row r="23" spans="1:13" ht="14.25" x14ac:dyDescent="0.2">
      <c r="A23" s="3" t="s">
        <v>53</v>
      </c>
      <c r="B23" s="4">
        <v>49</v>
      </c>
      <c r="C23" s="4">
        <v>0</v>
      </c>
      <c r="D23" s="4">
        <v>98</v>
      </c>
      <c r="E23" s="4">
        <v>0</v>
      </c>
      <c r="F23" s="4">
        <v>21</v>
      </c>
      <c r="G23" s="4">
        <v>53</v>
      </c>
      <c r="H23" s="4">
        <v>92</v>
      </c>
      <c r="I23" s="4">
        <v>60</v>
      </c>
      <c r="J23" s="4">
        <v>22</v>
      </c>
      <c r="K23" s="4">
        <v>23</v>
      </c>
      <c r="L23" s="4">
        <v>14</v>
      </c>
      <c r="M23" s="4">
        <v>2</v>
      </c>
    </row>
    <row r="24" spans="1:13" ht="14.25" x14ac:dyDescent="0.2">
      <c r="A24" s="3" t="s">
        <v>54</v>
      </c>
      <c r="B24" s="4">
        <v>96</v>
      </c>
      <c r="C24" s="4">
        <v>81</v>
      </c>
      <c r="D24" s="4">
        <v>65</v>
      </c>
      <c r="E24" s="4">
        <v>34</v>
      </c>
      <c r="F24" s="4">
        <v>21</v>
      </c>
      <c r="G24" s="4">
        <v>57</v>
      </c>
      <c r="H24" s="4">
        <v>0</v>
      </c>
      <c r="I24" s="4">
        <v>21</v>
      </c>
      <c r="J24" s="4">
        <v>71</v>
      </c>
      <c r="K24" s="4">
        <v>22</v>
      </c>
      <c r="L24" s="4">
        <v>25</v>
      </c>
      <c r="M24" s="4">
        <v>91</v>
      </c>
    </row>
    <row r="25" spans="1:13" ht="14.25" x14ac:dyDescent="0.2">
      <c r="A25" s="3" t="s">
        <v>55</v>
      </c>
      <c r="B25" s="4">
        <v>92</v>
      </c>
      <c r="C25" s="4">
        <v>81</v>
      </c>
      <c r="D25" s="4">
        <v>95</v>
      </c>
      <c r="E25" s="4">
        <v>13</v>
      </c>
      <c r="F25" s="4">
        <v>52</v>
      </c>
      <c r="G25" s="4">
        <v>69</v>
      </c>
      <c r="H25" s="4">
        <v>62</v>
      </c>
      <c r="I25" s="4">
        <v>58</v>
      </c>
      <c r="J25" s="4">
        <v>77</v>
      </c>
      <c r="K25" s="4">
        <v>68</v>
      </c>
      <c r="L25" s="4">
        <v>42</v>
      </c>
      <c r="M25" s="4">
        <v>42</v>
      </c>
    </row>
    <row r="26" spans="1:13" ht="14.25" x14ac:dyDescent="0.2">
      <c r="A26" s="3" t="s">
        <v>56</v>
      </c>
      <c r="B26" s="4">
        <v>46</v>
      </c>
      <c r="C26" s="4">
        <v>1</v>
      </c>
      <c r="D26" s="4">
        <v>87</v>
      </c>
      <c r="E26" s="4">
        <v>65</v>
      </c>
      <c r="F26" s="4">
        <v>34</v>
      </c>
      <c r="G26" s="4">
        <v>49</v>
      </c>
      <c r="H26" s="4">
        <v>45</v>
      </c>
      <c r="I26" s="4">
        <v>27</v>
      </c>
      <c r="J26" s="4">
        <v>12</v>
      </c>
      <c r="K26" s="4">
        <v>84</v>
      </c>
      <c r="L26" s="4">
        <v>44</v>
      </c>
      <c r="M26" s="4">
        <v>96</v>
      </c>
    </row>
    <row r="27" spans="1:13" ht="14.25" x14ac:dyDescent="0.2">
      <c r="A27" s="3" t="s">
        <v>57</v>
      </c>
      <c r="B27" s="4">
        <v>62</v>
      </c>
      <c r="C27" s="4">
        <v>0</v>
      </c>
      <c r="D27" s="4">
        <v>75</v>
      </c>
      <c r="E27" s="4">
        <v>86</v>
      </c>
      <c r="F27" s="4">
        <v>2</v>
      </c>
      <c r="G27" s="4">
        <v>0</v>
      </c>
      <c r="H27" s="4">
        <v>81</v>
      </c>
      <c r="I27" s="4">
        <v>34</v>
      </c>
      <c r="J27" s="4">
        <v>88</v>
      </c>
      <c r="K27" s="4">
        <v>43</v>
      </c>
      <c r="L27" s="4">
        <v>25</v>
      </c>
      <c r="M27" s="4">
        <v>66</v>
      </c>
    </row>
    <row r="28" spans="1:13" ht="14.25" x14ac:dyDescent="0.2">
      <c r="A28" s="3" t="s">
        <v>58</v>
      </c>
      <c r="B28" s="4">
        <v>18</v>
      </c>
      <c r="C28" s="4">
        <v>38</v>
      </c>
      <c r="D28" s="4">
        <v>29</v>
      </c>
      <c r="E28" s="4">
        <v>50</v>
      </c>
      <c r="F28" s="4">
        <v>77</v>
      </c>
      <c r="G28" s="4">
        <v>73</v>
      </c>
      <c r="H28" s="4">
        <v>91</v>
      </c>
      <c r="I28" s="4">
        <v>58</v>
      </c>
      <c r="J28" s="4">
        <v>60</v>
      </c>
      <c r="K28" s="4">
        <v>35</v>
      </c>
      <c r="L28" s="4">
        <v>90</v>
      </c>
      <c r="M28" s="4">
        <v>15</v>
      </c>
    </row>
    <row r="29" spans="1:13" ht="14.25" x14ac:dyDescent="0.2">
      <c r="A29" s="3" t="s">
        <v>59</v>
      </c>
      <c r="B29" s="4">
        <v>72</v>
      </c>
      <c r="C29" s="4">
        <v>7</v>
      </c>
      <c r="D29" s="4">
        <v>87</v>
      </c>
      <c r="E29" s="4">
        <v>38</v>
      </c>
      <c r="F29" s="4">
        <v>0</v>
      </c>
      <c r="G29" s="4">
        <v>47</v>
      </c>
      <c r="H29" s="4">
        <v>57</v>
      </c>
      <c r="I29" s="4">
        <v>56</v>
      </c>
      <c r="J29" s="4">
        <v>93</v>
      </c>
      <c r="K29" s="4">
        <v>52</v>
      </c>
      <c r="L29" s="4">
        <v>83</v>
      </c>
      <c r="M29" s="4">
        <v>31</v>
      </c>
    </row>
    <row r="30" spans="1:13" ht="14.25" x14ac:dyDescent="0.2">
      <c r="A30" s="3" t="s">
        <v>60</v>
      </c>
      <c r="B30" s="4">
        <v>18</v>
      </c>
      <c r="C30" s="4">
        <v>78</v>
      </c>
      <c r="D30" s="4">
        <v>35</v>
      </c>
      <c r="E30" s="4">
        <v>3</v>
      </c>
      <c r="F30" s="4">
        <v>79</v>
      </c>
      <c r="G30" s="4">
        <v>84</v>
      </c>
      <c r="H30" s="4">
        <v>93</v>
      </c>
      <c r="I30" s="4">
        <v>57</v>
      </c>
      <c r="J30" s="4">
        <v>0</v>
      </c>
      <c r="K30" s="4">
        <v>82</v>
      </c>
      <c r="L30" s="4">
        <v>43</v>
      </c>
      <c r="M30" s="4">
        <v>13</v>
      </c>
    </row>
    <row r="31" spans="1:13" ht="14.25" x14ac:dyDescent="0.2">
      <c r="A31" s="3" t="s">
        <v>61</v>
      </c>
      <c r="B31" s="4">
        <v>0</v>
      </c>
      <c r="C31" s="4">
        <v>72</v>
      </c>
      <c r="D31" s="4">
        <v>78</v>
      </c>
      <c r="E31" s="4">
        <v>25</v>
      </c>
      <c r="F31" s="4">
        <v>89</v>
      </c>
      <c r="G31" s="4">
        <v>98</v>
      </c>
      <c r="H31" s="4">
        <v>9</v>
      </c>
      <c r="I31" s="4">
        <v>67</v>
      </c>
      <c r="J31" s="4">
        <v>0</v>
      </c>
      <c r="K31" s="4">
        <v>67</v>
      </c>
      <c r="L31" s="4">
        <v>25</v>
      </c>
      <c r="M31" s="4">
        <v>6</v>
      </c>
    </row>
    <row r="32" spans="1:13" ht="14.25" x14ac:dyDescent="0.2">
      <c r="A32" s="3" t="s">
        <v>62</v>
      </c>
      <c r="B32" s="4">
        <v>67</v>
      </c>
      <c r="C32" s="4">
        <v>17</v>
      </c>
      <c r="D32" s="4">
        <v>25</v>
      </c>
      <c r="E32" s="4">
        <v>2</v>
      </c>
      <c r="F32" s="4">
        <v>29</v>
      </c>
      <c r="G32" s="4">
        <v>6</v>
      </c>
      <c r="H32" s="4">
        <v>2</v>
      </c>
      <c r="I32" s="4">
        <v>83</v>
      </c>
      <c r="J32" s="4">
        <v>97</v>
      </c>
      <c r="K32" s="4">
        <v>13</v>
      </c>
      <c r="L32" s="4">
        <v>68</v>
      </c>
      <c r="M32" s="4">
        <v>87</v>
      </c>
    </row>
    <row r="33" spans="1:13" ht="14.25" x14ac:dyDescent="0.2">
      <c r="A33" s="3" t="s">
        <v>63</v>
      </c>
      <c r="B33" s="4">
        <v>80</v>
      </c>
      <c r="C33" s="4">
        <v>65</v>
      </c>
      <c r="D33" s="4">
        <v>7</v>
      </c>
      <c r="E33" s="4">
        <v>68</v>
      </c>
      <c r="F33" s="4">
        <v>81</v>
      </c>
      <c r="G33" s="4">
        <v>57</v>
      </c>
      <c r="H33" s="4">
        <v>5</v>
      </c>
      <c r="I33" s="4">
        <v>0</v>
      </c>
      <c r="J33" s="4">
        <v>0</v>
      </c>
      <c r="K33" s="4">
        <v>0</v>
      </c>
      <c r="L33" s="4">
        <v>87</v>
      </c>
      <c r="M33" s="4">
        <v>22</v>
      </c>
    </row>
    <row r="34" spans="1:13" ht="14.25" x14ac:dyDescent="0.2">
      <c r="A34" s="3" t="s">
        <v>64</v>
      </c>
      <c r="B34" s="4">
        <v>78</v>
      </c>
      <c r="C34" s="4">
        <v>0</v>
      </c>
      <c r="D34" s="4">
        <v>22</v>
      </c>
      <c r="E34" s="4">
        <v>1</v>
      </c>
      <c r="F34" s="4">
        <v>62</v>
      </c>
      <c r="G34" s="4">
        <v>26</v>
      </c>
      <c r="H34" s="4">
        <v>70</v>
      </c>
      <c r="I34" s="4">
        <v>33</v>
      </c>
      <c r="J34" s="4">
        <v>53</v>
      </c>
      <c r="K34" s="4">
        <v>48</v>
      </c>
      <c r="L34" s="4">
        <v>35</v>
      </c>
      <c r="M34" s="4">
        <v>18</v>
      </c>
    </row>
    <row r="35" spans="1:13" ht="14.25" x14ac:dyDescent="0.2">
      <c r="A35" s="3" t="s">
        <v>65</v>
      </c>
      <c r="B35" s="4">
        <v>8</v>
      </c>
      <c r="C35" s="4">
        <v>66</v>
      </c>
      <c r="D35" s="4">
        <v>97</v>
      </c>
      <c r="E35" s="4">
        <v>48</v>
      </c>
      <c r="F35" s="4">
        <v>17</v>
      </c>
      <c r="G35" s="4">
        <v>45</v>
      </c>
      <c r="H35" s="4">
        <v>57</v>
      </c>
      <c r="I35" s="4">
        <v>45</v>
      </c>
      <c r="J35" s="4">
        <v>86</v>
      </c>
      <c r="K35" s="4">
        <v>6</v>
      </c>
      <c r="L35" s="4">
        <v>39</v>
      </c>
      <c r="M35" s="4">
        <v>4</v>
      </c>
    </row>
    <row r="36" spans="1:13" ht="14.25" x14ac:dyDescent="0.2">
      <c r="A36" s="3" t="s">
        <v>66</v>
      </c>
      <c r="B36" s="4">
        <v>69</v>
      </c>
      <c r="C36" s="4">
        <v>30</v>
      </c>
      <c r="D36" s="4">
        <v>81</v>
      </c>
      <c r="E36" s="4">
        <v>25</v>
      </c>
      <c r="F36" s="4">
        <v>87</v>
      </c>
      <c r="G36" s="4">
        <v>17</v>
      </c>
      <c r="H36" s="4">
        <v>0</v>
      </c>
      <c r="I36" s="4">
        <v>86</v>
      </c>
      <c r="J36" s="4">
        <v>48</v>
      </c>
      <c r="K36" s="4">
        <v>90</v>
      </c>
      <c r="L36" s="4">
        <v>83</v>
      </c>
      <c r="M36" s="4">
        <v>80</v>
      </c>
    </row>
    <row r="37" spans="1:13" ht="14.25" x14ac:dyDescent="0.2">
      <c r="A37" s="3" t="s">
        <v>67</v>
      </c>
      <c r="B37" s="4">
        <v>74</v>
      </c>
      <c r="C37" s="4">
        <v>80</v>
      </c>
      <c r="D37" s="4">
        <v>53</v>
      </c>
      <c r="E37" s="4">
        <v>91</v>
      </c>
      <c r="F37" s="4">
        <v>9</v>
      </c>
      <c r="G37" s="4">
        <v>96</v>
      </c>
      <c r="H37" s="4">
        <v>4</v>
      </c>
      <c r="I37" s="4">
        <v>82</v>
      </c>
      <c r="J37" s="4">
        <v>69</v>
      </c>
      <c r="K37" s="4">
        <v>19</v>
      </c>
      <c r="L37" s="4">
        <v>31</v>
      </c>
      <c r="M37" s="4">
        <v>7</v>
      </c>
    </row>
    <row r="38" spans="1:13" ht="14.25" x14ac:dyDescent="0.2">
      <c r="A38" s="3" t="s">
        <v>68</v>
      </c>
      <c r="B38" s="4">
        <v>50</v>
      </c>
      <c r="C38" s="4">
        <v>32</v>
      </c>
      <c r="D38" s="4">
        <v>21</v>
      </c>
      <c r="E38" s="4">
        <v>56</v>
      </c>
      <c r="F38" s="4">
        <v>88</v>
      </c>
      <c r="G38" s="4">
        <v>80</v>
      </c>
      <c r="H38" s="4">
        <v>35</v>
      </c>
      <c r="I38" s="4">
        <v>39</v>
      </c>
      <c r="J38" s="4">
        <v>34</v>
      </c>
      <c r="K38" s="4">
        <v>94</v>
      </c>
      <c r="L38" s="4">
        <v>21</v>
      </c>
      <c r="M38" s="4">
        <v>77</v>
      </c>
    </row>
    <row r="39" spans="1:13" ht="14.25" x14ac:dyDescent="0.2">
      <c r="A39" s="3" t="s">
        <v>69</v>
      </c>
      <c r="B39" s="4">
        <v>98</v>
      </c>
      <c r="C39" s="4">
        <v>0</v>
      </c>
      <c r="D39" s="4">
        <v>35</v>
      </c>
      <c r="E39" s="4">
        <v>95</v>
      </c>
      <c r="F39" s="4">
        <v>95</v>
      </c>
      <c r="G39" s="4">
        <v>35</v>
      </c>
      <c r="H39" s="4">
        <v>67</v>
      </c>
      <c r="I39" s="4">
        <v>74</v>
      </c>
      <c r="J39" s="4">
        <v>0</v>
      </c>
      <c r="K39" s="4">
        <v>4</v>
      </c>
      <c r="L39" s="4">
        <v>37</v>
      </c>
      <c r="M39" s="4">
        <v>53</v>
      </c>
    </row>
    <row r="40" spans="1:13" ht="14.25" x14ac:dyDescent="0.2">
      <c r="A40" s="3" t="s">
        <v>70</v>
      </c>
      <c r="B40" s="4">
        <v>43</v>
      </c>
      <c r="C40" s="4">
        <v>94</v>
      </c>
      <c r="D40" s="4">
        <v>53</v>
      </c>
      <c r="E40" s="4">
        <v>53</v>
      </c>
      <c r="F40" s="4">
        <v>54</v>
      </c>
      <c r="G40" s="4">
        <v>38</v>
      </c>
      <c r="H40" s="4">
        <v>25</v>
      </c>
      <c r="I40" s="4">
        <v>55</v>
      </c>
      <c r="J40" s="4">
        <v>17</v>
      </c>
      <c r="K40" s="4">
        <v>96</v>
      </c>
      <c r="L40" s="4">
        <v>79</v>
      </c>
      <c r="M40" s="4">
        <v>98</v>
      </c>
    </row>
    <row r="41" spans="1:13" ht="14.25" x14ac:dyDescent="0.2">
      <c r="A41" s="3" t="s">
        <v>71</v>
      </c>
      <c r="B41" s="4">
        <v>36</v>
      </c>
      <c r="C41" s="4">
        <v>20</v>
      </c>
      <c r="D41" s="4">
        <v>90</v>
      </c>
      <c r="E41" s="4">
        <v>81</v>
      </c>
      <c r="F41" s="4">
        <v>54</v>
      </c>
      <c r="G41" s="4">
        <v>52</v>
      </c>
      <c r="H41" s="4">
        <v>19</v>
      </c>
      <c r="I41" s="4">
        <v>89</v>
      </c>
      <c r="J41" s="4">
        <v>83</v>
      </c>
      <c r="K41" s="4">
        <v>93</v>
      </c>
      <c r="L41" s="4">
        <v>18</v>
      </c>
      <c r="M41" s="4">
        <v>7</v>
      </c>
    </row>
    <row r="42" spans="1:13" ht="14.25" x14ac:dyDescent="0.2">
      <c r="A42" s="3" t="s">
        <v>72</v>
      </c>
      <c r="B42" s="4">
        <v>46</v>
      </c>
      <c r="C42" s="4">
        <v>35</v>
      </c>
      <c r="D42" s="4">
        <v>37</v>
      </c>
      <c r="E42" s="4">
        <v>63</v>
      </c>
      <c r="F42" s="4">
        <v>6</v>
      </c>
      <c r="G42" s="4">
        <v>54</v>
      </c>
      <c r="H42" s="4">
        <v>58</v>
      </c>
      <c r="I42" s="4">
        <v>26</v>
      </c>
      <c r="J42" s="4">
        <v>88</v>
      </c>
      <c r="K42" s="4">
        <v>76</v>
      </c>
      <c r="L42" s="4">
        <v>93</v>
      </c>
      <c r="M42" s="4">
        <v>68</v>
      </c>
    </row>
    <row r="43" spans="1:13" ht="14.25" x14ac:dyDescent="0.2">
      <c r="A43" s="3" t="s">
        <v>73</v>
      </c>
      <c r="B43" s="4">
        <v>22</v>
      </c>
      <c r="C43" s="4">
        <v>82</v>
      </c>
      <c r="D43" s="4">
        <v>41</v>
      </c>
      <c r="E43" s="4">
        <v>91</v>
      </c>
      <c r="F43" s="4">
        <v>71</v>
      </c>
      <c r="G43" s="4">
        <v>83</v>
      </c>
      <c r="H43" s="4">
        <v>95</v>
      </c>
      <c r="I43" s="4">
        <v>56</v>
      </c>
      <c r="J43" s="4">
        <v>14</v>
      </c>
      <c r="K43" s="4">
        <v>37</v>
      </c>
      <c r="L43" s="4">
        <v>67</v>
      </c>
      <c r="M43" s="4">
        <v>4</v>
      </c>
    </row>
    <row r="44" spans="1:13" ht="14.25" x14ac:dyDescent="0.2">
      <c r="A44" s="3" t="s">
        <v>74</v>
      </c>
      <c r="B44" s="4">
        <v>31</v>
      </c>
      <c r="C44" s="4">
        <v>67</v>
      </c>
      <c r="D44" s="4">
        <v>74</v>
      </c>
      <c r="E44" s="4">
        <v>33</v>
      </c>
      <c r="F44" s="4">
        <v>10</v>
      </c>
      <c r="G44" s="4">
        <v>2</v>
      </c>
      <c r="H44" s="4">
        <v>48</v>
      </c>
      <c r="I44" s="4">
        <v>2</v>
      </c>
      <c r="J44" s="4">
        <v>60</v>
      </c>
      <c r="K44" s="4">
        <v>17</v>
      </c>
      <c r="L44" s="4">
        <v>76</v>
      </c>
      <c r="M44" s="4">
        <v>6</v>
      </c>
    </row>
    <row r="45" spans="1:13" ht="14.25" x14ac:dyDescent="0.2">
      <c r="A45" s="3" t="s">
        <v>75</v>
      </c>
      <c r="B45" s="4">
        <v>47</v>
      </c>
      <c r="C45" s="4">
        <v>66</v>
      </c>
      <c r="D45" s="4">
        <v>18</v>
      </c>
      <c r="E45" s="4">
        <v>21</v>
      </c>
      <c r="F45" s="4">
        <v>41</v>
      </c>
      <c r="G45" s="4">
        <v>42</v>
      </c>
      <c r="H45" s="4">
        <v>29</v>
      </c>
      <c r="I45" s="4">
        <v>33</v>
      </c>
      <c r="J45" s="4">
        <v>77</v>
      </c>
      <c r="K45" s="4">
        <v>72</v>
      </c>
      <c r="L45" s="4">
        <v>78</v>
      </c>
      <c r="M45" s="4">
        <v>84</v>
      </c>
    </row>
    <row r="46" spans="1:13" ht="14.25" x14ac:dyDescent="0.2">
      <c r="A46" s="3" t="s">
        <v>76</v>
      </c>
      <c r="B46" s="4">
        <v>52</v>
      </c>
      <c r="C46" s="4">
        <v>80</v>
      </c>
      <c r="D46" s="4">
        <v>53</v>
      </c>
      <c r="E46" s="4">
        <v>91</v>
      </c>
      <c r="F46" s="4">
        <v>28</v>
      </c>
      <c r="G46" s="4">
        <v>0</v>
      </c>
      <c r="H46" s="4">
        <v>59</v>
      </c>
      <c r="I46" s="4">
        <v>56</v>
      </c>
      <c r="J46" s="4">
        <v>45</v>
      </c>
      <c r="K46" s="4">
        <v>32</v>
      </c>
      <c r="L46" s="4">
        <v>28</v>
      </c>
      <c r="M46" s="4">
        <v>61</v>
      </c>
    </row>
    <row r="47" spans="1:13" ht="14.25" x14ac:dyDescent="0.2">
      <c r="A47" s="3" t="s">
        <v>77</v>
      </c>
      <c r="B47" s="4">
        <v>14</v>
      </c>
      <c r="C47" s="4">
        <v>58</v>
      </c>
      <c r="D47" s="4">
        <v>15</v>
      </c>
      <c r="E47" s="4">
        <v>66</v>
      </c>
      <c r="F47" s="4">
        <v>75</v>
      </c>
      <c r="G47" s="4">
        <v>2</v>
      </c>
      <c r="H47" s="4">
        <v>82</v>
      </c>
      <c r="I47" s="4">
        <v>74</v>
      </c>
      <c r="J47" s="4">
        <v>28</v>
      </c>
      <c r="K47" s="4">
        <v>47</v>
      </c>
      <c r="L47" s="4">
        <v>36</v>
      </c>
      <c r="M47" s="4">
        <v>19</v>
      </c>
    </row>
    <row r="48" spans="1:13" ht="14.25" x14ac:dyDescent="0.2">
      <c r="A48" s="3" t="s">
        <v>78</v>
      </c>
      <c r="B48" s="4">
        <v>0</v>
      </c>
      <c r="C48" s="4">
        <v>0</v>
      </c>
      <c r="D48" s="4">
        <v>86</v>
      </c>
      <c r="E48" s="4">
        <v>64</v>
      </c>
      <c r="F48" s="4">
        <v>69</v>
      </c>
      <c r="G48" s="4">
        <v>45</v>
      </c>
      <c r="H48" s="4">
        <v>47</v>
      </c>
      <c r="I48" s="4">
        <v>36</v>
      </c>
      <c r="J48" s="4">
        <v>30</v>
      </c>
      <c r="K48" s="4">
        <v>16</v>
      </c>
      <c r="L48" s="4">
        <v>78</v>
      </c>
      <c r="M48" s="4">
        <v>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5" zoomScaleNormal="85" workbookViewId="0">
      <selection sqref="A1:E26"/>
    </sheetView>
  </sheetViews>
  <sheetFormatPr defaultRowHeight="12.75" x14ac:dyDescent="0.2"/>
  <cols>
    <col min="1" max="5" width="15.5703125" customWidth="1"/>
  </cols>
  <sheetData>
    <row r="1" spans="1:5" x14ac:dyDescent="0.2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 x14ac:dyDescent="0.2">
      <c r="A2" s="13" t="s">
        <v>6</v>
      </c>
      <c r="B2" s="5" t="s">
        <v>11</v>
      </c>
      <c r="C2" s="6">
        <v>220347</v>
      </c>
      <c r="D2" s="6">
        <v>122322</v>
      </c>
      <c r="E2" s="14">
        <v>98025</v>
      </c>
    </row>
    <row r="3" spans="1:5" x14ac:dyDescent="0.2">
      <c r="A3" s="13" t="s">
        <v>8</v>
      </c>
      <c r="B3" s="5" t="s">
        <v>18</v>
      </c>
      <c r="C3" s="6">
        <v>880547</v>
      </c>
      <c r="D3" s="6">
        <v>788328</v>
      </c>
      <c r="E3" s="14">
        <v>92219</v>
      </c>
    </row>
    <row r="4" spans="1:5" x14ac:dyDescent="0.2">
      <c r="A4" s="13" t="s">
        <v>6</v>
      </c>
      <c r="B4" s="5" t="s">
        <v>10</v>
      </c>
      <c r="C4" s="6">
        <v>890000</v>
      </c>
      <c r="D4" s="6">
        <v>223797</v>
      </c>
      <c r="E4" s="14">
        <v>666203</v>
      </c>
    </row>
    <row r="5" spans="1:5" x14ac:dyDescent="0.2">
      <c r="A5" s="13" t="s">
        <v>8</v>
      </c>
      <c r="B5" s="5" t="s">
        <v>29</v>
      </c>
      <c r="C5" s="6">
        <v>725922</v>
      </c>
      <c r="D5" s="6">
        <v>717034</v>
      </c>
      <c r="E5" s="14">
        <v>8888</v>
      </c>
    </row>
    <row r="6" spans="1:5" x14ac:dyDescent="0.2">
      <c r="A6" s="13" t="s">
        <v>8</v>
      </c>
      <c r="B6" s="5" t="s">
        <v>19</v>
      </c>
      <c r="C6" s="6">
        <v>816743</v>
      </c>
      <c r="D6" s="6">
        <v>795906</v>
      </c>
      <c r="E6" s="14">
        <v>20837</v>
      </c>
    </row>
    <row r="7" spans="1:5" x14ac:dyDescent="0.2">
      <c r="A7" s="13" t="s">
        <v>6</v>
      </c>
      <c r="B7" s="5" t="s">
        <v>30</v>
      </c>
      <c r="C7" s="6">
        <v>234230</v>
      </c>
      <c r="D7" s="6">
        <v>226096</v>
      </c>
      <c r="E7" s="14">
        <v>8134</v>
      </c>
    </row>
    <row r="8" spans="1:5" x14ac:dyDescent="0.2">
      <c r="A8" s="13" t="s">
        <v>5</v>
      </c>
      <c r="B8" s="5" t="s">
        <v>25</v>
      </c>
      <c r="C8" s="6">
        <v>254125</v>
      </c>
      <c r="D8" s="6">
        <v>199541</v>
      </c>
      <c r="E8" s="14">
        <v>54584</v>
      </c>
    </row>
    <row r="9" spans="1:5" x14ac:dyDescent="0.2">
      <c r="A9" s="13" t="s">
        <v>5</v>
      </c>
      <c r="B9" s="5" t="s">
        <v>27</v>
      </c>
      <c r="C9" s="6">
        <v>187456</v>
      </c>
      <c r="D9" s="6">
        <v>201254</v>
      </c>
      <c r="E9" s="14">
        <v>-13798</v>
      </c>
    </row>
    <row r="10" spans="1:5" x14ac:dyDescent="0.2">
      <c r="A10" s="13" t="s">
        <v>8</v>
      </c>
      <c r="B10" s="5" t="s">
        <v>16</v>
      </c>
      <c r="C10" s="6">
        <v>193975</v>
      </c>
      <c r="D10" s="6">
        <v>188475</v>
      </c>
      <c r="E10" s="14">
        <v>5500</v>
      </c>
    </row>
    <row r="11" spans="1:5" x14ac:dyDescent="0.2">
      <c r="A11" s="13" t="s">
        <v>79</v>
      </c>
      <c r="B11" s="5" t="s">
        <v>25</v>
      </c>
      <c r="C11" s="6">
        <v>679605</v>
      </c>
      <c r="D11" s="6">
        <v>399039</v>
      </c>
      <c r="E11" s="14">
        <v>280566</v>
      </c>
    </row>
    <row r="12" spans="1:5" x14ac:dyDescent="0.2">
      <c r="A12" s="13" t="s">
        <v>80</v>
      </c>
      <c r="B12" s="5" t="s">
        <v>13</v>
      </c>
      <c r="C12" s="6">
        <v>303922</v>
      </c>
      <c r="D12" s="6">
        <v>317034</v>
      </c>
      <c r="E12" s="14">
        <v>-13112</v>
      </c>
    </row>
    <row r="13" spans="1:5" x14ac:dyDescent="0.2">
      <c r="A13" s="13" t="s">
        <v>5</v>
      </c>
      <c r="B13" s="5" t="s">
        <v>9</v>
      </c>
      <c r="C13" s="6">
        <v>656955</v>
      </c>
      <c r="D13" s="6">
        <v>327034</v>
      </c>
      <c r="E13" s="14">
        <v>329921</v>
      </c>
    </row>
    <row r="14" spans="1:5" x14ac:dyDescent="0.2">
      <c r="A14" s="13" t="s">
        <v>8</v>
      </c>
      <c r="B14" s="5" t="s">
        <v>14</v>
      </c>
      <c r="C14" s="6">
        <v>216769</v>
      </c>
      <c r="D14" s="6">
        <v>202377</v>
      </c>
      <c r="E14" s="14">
        <v>14392</v>
      </c>
    </row>
    <row r="15" spans="1:5" x14ac:dyDescent="0.2">
      <c r="A15" s="13" t="s">
        <v>5</v>
      </c>
      <c r="B15" s="7" t="s">
        <v>25</v>
      </c>
      <c r="C15" s="6">
        <v>201254</v>
      </c>
      <c r="D15" s="6">
        <v>99452</v>
      </c>
      <c r="E15" s="14">
        <v>101802</v>
      </c>
    </row>
    <row r="16" spans="1:5" x14ac:dyDescent="0.2">
      <c r="A16" s="13" t="s">
        <v>5</v>
      </c>
      <c r="B16" s="5" t="s">
        <v>9</v>
      </c>
      <c r="C16" s="6">
        <v>541254</v>
      </c>
      <c r="D16" s="6">
        <v>320012</v>
      </c>
      <c r="E16" s="14">
        <v>221242</v>
      </c>
    </row>
    <row r="17" spans="1:5" x14ac:dyDescent="0.2">
      <c r="A17" s="13" t="s">
        <v>8</v>
      </c>
      <c r="B17" s="5" t="s">
        <v>15</v>
      </c>
      <c r="C17" s="6">
        <v>379302</v>
      </c>
      <c r="D17" s="6">
        <v>299032</v>
      </c>
      <c r="E17" s="14">
        <v>80270</v>
      </c>
    </row>
    <row r="18" spans="1:5" x14ac:dyDescent="0.2">
      <c r="A18" s="13" t="s">
        <v>6</v>
      </c>
      <c r="B18" s="5" t="s">
        <v>12</v>
      </c>
      <c r="C18" s="6">
        <v>700000</v>
      </c>
      <c r="D18" s="6">
        <v>193906</v>
      </c>
      <c r="E18" s="14">
        <v>506094</v>
      </c>
    </row>
    <row r="19" spans="1:5" x14ac:dyDescent="0.2">
      <c r="A19" s="13" t="s">
        <v>8</v>
      </c>
      <c r="B19" s="5" t="s">
        <v>17</v>
      </c>
      <c r="C19" s="6">
        <v>501226</v>
      </c>
      <c r="D19" s="6">
        <v>425797</v>
      </c>
      <c r="E19" s="14">
        <v>75429</v>
      </c>
    </row>
    <row r="20" spans="1:5" x14ac:dyDescent="0.2">
      <c r="A20" s="13" t="s">
        <v>7</v>
      </c>
      <c r="B20" s="5" t="s">
        <v>21</v>
      </c>
      <c r="C20" s="6">
        <v>816769</v>
      </c>
      <c r="D20" s="6">
        <v>782577</v>
      </c>
      <c r="E20" s="14">
        <v>34192</v>
      </c>
    </row>
    <row r="21" spans="1:5" x14ac:dyDescent="0.2">
      <c r="A21" s="13" t="s">
        <v>7</v>
      </c>
      <c r="B21" s="5" t="s">
        <v>22</v>
      </c>
      <c r="C21" s="6">
        <v>779308</v>
      </c>
      <c r="D21" s="6">
        <v>699058</v>
      </c>
      <c r="E21" s="14">
        <v>80250</v>
      </c>
    </row>
    <row r="22" spans="1:5" x14ac:dyDescent="0.2">
      <c r="A22" s="15" t="s">
        <v>7</v>
      </c>
      <c r="B22" s="8" t="s">
        <v>24</v>
      </c>
      <c r="C22" s="9">
        <v>550647</v>
      </c>
      <c r="D22" s="9">
        <v>739393</v>
      </c>
      <c r="E22" s="14">
        <v>-188746</v>
      </c>
    </row>
    <row r="23" spans="1:5" x14ac:dyDescent="0.2">
      <c r="A23" s="13" t="s">
        <v>5</v>
      </c>
      <c r="B23" s="5" t="s">
        <v>26</v>
      </c>
      <c r="C23" s="6">
        <v>296975</v>
      </c>
      <c r="D23" s="6">
        <v>270000</v>
      </c>
      <c r="E23" s="14">
        <v>26975</v>
      </c>
    </row>
    <row r="24" spans="1:5" x14ac:dyDescent="0.2">
      <c r="A24" s="13" t="s">
        <v>7</v>
      </c>
      <c r="B24" s="5" t="s">
        <v>20</v>
      </c>
      <c r="C24" s="6">
        <v>854230</v>
      </c>
      <c r="D24" s="6">
        <v>826096</v>
      </c>
      <c r="E24" s="14">
        <v>28134</v>
      </c>
    </row>
    <row r="25" spans="1:5" x14ac:dyDescent="0.2">
      <c r="A25" s="13" t="s">
        <v>5</v>
      </c>
      <c r="B25" s="5" t="s">
        <v>28</v>
      </c>
      <c r="C25" s="6">
        <v>400000</v>
      </c>
      <c r="D25" s="6">
        <v>222365</v>
      </c>
      <c r="E25" s="14">
        <v>177635</v>
      </c>
    </row>
    <row r="26" spans="1:5" ht="13.5" thickBot="1" x14ac:dyDescent="0.25">
      <c r="A26" s="16" t="s">
        <v>7</v>
      </c>
      <c r="B26" s="17" t="s">
        <v>23</v>
      </c>
      <c r="C26" s="18">
        <v>601556</v>
      </c>
      <c r="D26" s="18">
        <v>393797</v>
      </c>
      <c r="E26" s="19">
        <v>207759</v>
      </c>
    </row>
  </sheetData>
  <conditionalFormatting sqref="C2:C26">
    <cfRule type="colorScale" priority="2">
      <colorScale>
        <cfvo type="min"/>
        <cfvo type="num" val="0"/>
        <cfvo type="max"/>
        <color rgb="FF63BE7B"/>
        <color rgb="FFFFEB84"/>
        <color rgb="FFF8696B"/>
      </colorScale>
    </cfRule>
    <cfRule type="iconSet" priority="1">
      <iconSet iconSet="3TrafficLights2">
        <cfvo type="percent" val="0"/>
        <cfvo type="num" val="400000"/>
        <cfvo type="num" val="700000"/>
      </iconSet>
    </cfRule>
  </conditionalFormatting>
  <conditionalFormatting sqref="B2:B26">
    <cfRule type="cellIs" dxfId="21" priority="8" operator="equal">
      <formula>"Edirne"</formula>
    </cfRule>
  </conditionalFormatting>
  <conditionalFormatting sqref="A2:A26">
    <cfRule type="containsText" dxfId="20" priority="7" operator="containsText" text="Marrmara">
      <formula>NOT(ISERROR(SEARCH("Marrmara",A2)))</formula>
    </cfRule>
  </conditionalFormatting>
  <conditionalFormatting sqref="A2:A25">
    <cfRule type="containsText" dxfId="19" priority="6" operator="containsText" text="marmara">
      <formula>NOT(ISERROR(SEARCH("marmara",A2)))</formula>
    </cfRule>
  </conditionalFormatting>
  <conditionalFormatting sqref="E2:E26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{237BB38E-C8C6-428A-923B-9F7A16A83280}</x14:id>
        </ext>
      </extLst>
    </cfRule>
  </conditionalFormatting>
  <conditionalFormatting sqref="D2:D2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{CBF7C634-06DF-4F7F-BE15-5590DDDF401F}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7BB38E-C8C6-428A-923B-9F7A16A832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E2:E26</xm:sqref>
        </x14:conditionalFormatting>
        <x14:conditionalFormatting xmlns:xm="http://schemas.microsoft.com/office/excel/2006/main">
          <x14:cfRule type="dataBar" id="{CBF7C634-06DF-4F7F-BE15-5590DDDF4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L14" sqref="L14"/>
    </sheetView>
  </sheetViews>
  <sheetFormatPr defaultRowHeight="12.75" x14ac:dyDescent="0.2"/>
  <cols>
    <col min="1" max="1" width="14.140625" customWidth="1"/>
    <col min="2" max="2" width="13.140625" customWidth="1"/>
    <col min="3" max="3" width="16.140625" customWidth="1"/>
    <col min="4" max="4" width="14.5703125" customWidth="1"/>
    <col min="5" max="5" width="15.42578125" customWidth="1"/>
  </cols>
  <sheetData>
    <row r="1" spans="1:8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</row>
    <row r="2" spans="1:8" x14ac:dyDescent="0.2">
      <c r="A2" t="s">
        <v>6</v>
      </c>
      <c r="B2" t="s">
        <v>11</v>
      </c>
      <c r="C2" s="20">
        <v>220347</v>
      </c>
      <c r="D2" s="20">
        <v>122322</v>
      </c>
      <c r="E2" s="20">
        <v>98025</v>
      </c>
      <c r="G2" t="b">
        <f>$B2="Edirne"</f>
        <v>0</v>
      </c>
      <c r="H2" t="b">
        <f>$E2&lt;0</f>
        <v>0</v>
      </c>
    </row>
    <row r="3" spans="1:8" x14ac:dyDescent="0.2">
      <c r="A3" t="s">
        <v>8</v>
      </c>
      <c r="B3" t="s">
        <v>18</v>
      </c>
      <c r="C3" s="20">
        <v>880547</v>
      </c>
      <c r="D3" s="20">
        <v>788328</v>
      </c>
      <c r="E3" s="20">
        <v>92219</v>
      </c>
      <c r="G3" t="b">
        <f t="shared" ref="G3:G26" si="0">$B3="Edirne"</f>
        <v>0</v>
      </c>
      <c r="H3" t="b">
        <f t="shared" ref="H3:H26" si="1">$E3&lt;0</f>
        <v>0</v>
      </c>
    </row>
    <row r="4" spans="1:8" x14ac:dyDescent="0.2">
      <c r="A4" t="s">
        <v>6</v>
      </c>
      <c r="B4" t="s">
        <v>10</v>
      </c>
      <c r="C4" s="20">
        <v>890000</v>
      </c>
      <c r="D4" s="20">
        <v>223797</v>
      </c>
      <c r="E4" s="20">
        <v>666203</v>
      </c>
      <c r="G4" t="b">
        <f t="shared" si="0"/>
        <v>0</v>
      </c>
      <c r="H4" t="b">
        <f t="shared" si="1"/>
        <v>0</v>
      </c>
    </row>
    <row r="5" spans="1:8" x14ac:dyDescent="0.2">
      <c r="A5" t="s">
        <v>8</v>
      </c>
      <c r="B5" t="s">
        <v>29</v>
      </c>
      <c r="C5" s="20">
        <v>725922</v>
      </c>
      <c r="D5" s="20">
        <v>717034</v>
      </c>
      <c r="E5" s="20">
        <v>8888</v>
      </c>
      <c r="G5" t="b">
        <f t="shared" si="0"/>
        <v>0</v>
      </c>
      <c r="H5" t="b">
        <f t="shared" si="1"/>
        <v>0</v>
      </c>
    </row>
    <row r="6" spans="1:8" x14ac:dyDescent="0.2">
      <c r="A6" t="s">
        <v>8</v>
      </c>
      <c r="B6" t="s">
        <v>19</v>
      </c>
      <c r="C6" s="20">
        <v>816743</v>
      </c>
      <c r="D6" s="20">
        <v>795906</v>
      </c>
      <c r="E6" s="20">
        <v>20837</v>
      </c>
      <c r="G6" t="b">
        <f t="shared" si="0"/>
        <v>0</v>
      </c>
      <c r="H6" t="b">
        <f t="shared" si="1"/>
        <v>0</v>
      </c>
    </row>
    <row r="7" spans="1:8" x14ac:dyDescent="0.2">
      <c r="A7" t="s">
        <v>6</v>
      </c>
      <c r="B7" t="s">
        <v>30</v>
      </c>
      <c r="C7" s="20">
        <v>234230</v>
      </c>
      <c r="D7" s="20">
        <v>226096</v>
      </c>
      <c r="E7" s="20">
        <v>8134</v>
      </c>
      <c r="G7" t="b">
        <f t="shared" si="0"/>
        <v>0</v>
      </c>
      <c r="H7" t="b">
        <f t="shared" si="1"/>
        <v>0</v>
      </c>
    </row>
    <row r="8" spans="1:8" x14ac:dyDescent="0.2">
      <c r="A8" t="s">
        <v>5</v>
      </c>
      <c r="B8" t="s">
        <v>25</v>
      </c>
      <c r="C8" s="20">
        <v>254125</v>
      </c>
      <c r="D8" s="20">
        <v>199541</v>
      </c>
      <c r="E8" s="20">
        <v>54584</v>
      </c>
      <c r="G8" t="b">
        <f t="shared" si="0"/>
        <v>1</v>
      </c>
      <c r="H8" t="b">
        <f t="shared" si="1"/>
        <v>0</v>
      </c>
    </row>
    <row r="9" spans="1:8" x14ac:dyDescent="0.2">
      <c r="A9" t="s">
        <v>5</v>
      </c>
      <c r="B9" t="s">
        <v>27</v>
      </c>
      <c r="C9" s="20">
        <v>187456</v>
      </c>
      <c r="D9" s="20">
        <v>201254</v>
      </c>
      <c r="E9" s="20">
        <v>-13798</v>
      </c>
      <c r="G9" t="b">
        <f t="shared" si="0"/>
        <v>0</v>
      </c>
      <c r="H9" t="b">
        <f t="shared" si="1"/>
        <v>1</v>
      </c>
    </row>
    <row r="10" spans="1:8" x14ac:dyDescent="0.2">
      <c r="A10" t="s">
        <v>8</v>
      </c>
      <c r="B10" t="s">
        <v>16</v>
      </c>
      <c r="C10" s="20">
        <v>193975</v>
      </c>
      <c r="D10" s="20">
        <v>188475</v>
      </c>
      <c r="E10" s="20">
        <v>5500</v>
      </c>
      <c r="G10" t="b">
        <f t="shared" si="0"/>
        <v>0</v>
      </c>
      <c r="H10" t="b">
        <f t="shared" si="1"/>
        <v>0</v>
      </c>
    </row>
    <row r="11" spans="1:8" x14ac:dyDescent="0.2">
      <c r="A11" t="s">
        <v>79</v>
      </c>
      <c r="B11" t="s">
        <v>25</v>
      </c>
      <c r="C11" s="20">
        <v>679605</v>
      </c>
      <c r="D11" s="20">
        <v>399039</v>
      </c>
      <c r="E11" s="20">
        <v>280566</v>
      </c>
      <c r="G11" t="b">
        <f t="shared" si="0"/>
        <v>1</v>
      </c>
      <c r="H11" t="b">
        <f t="shared" si="1"/>
        <v>0</v>
      </c>
    </row>
    <row r="12" spans="1:8" x14ac:dyDescent="0.2">
      <c r="A12" t="s">
        <v>80</v>
      </c>
      <c r="B12" t="s">
        <v>13</v>
      </c>
      <c r="C12" s="20">
        <v>303922</v>
      </c>
      <c r="D12" s="20">
        <v>317034</v>
      </c>
      <c r="E12" s="20">
        <v>-13112</v>
      </c>
      <c r="G12" t="b">
        <f t="shared" si="0"/>
        <v>0</v>
      </c>
      <c r="H12" t="b">
        <f t="shared" si="1"/>
        <v>1</v>
      </c>
    </row>
    <row r="13" spans="1:8" x14ac:dyDescent="0.2">
      <c r="A13" t="s">
        <v>5</v>
      </c>
      <c r="B13" t="s">
        <v>9</v>
      </c>
      <c r="C13" s="20">
        <v>656955</v>
      </c>
      <c r="D13" s="20">
        <v>327034</v>
      </c>
      <c r="E13" s="20">
        <v>329921</v>
      </c>
      <c r="G13" t="b">
        <f t="shared" si="0"/>
        <v>0</v>
      </c>
      <c r="H13" t="b">
        <f t="shared" si="1"/>
        <v>0</v>
      </c>
    </row>
    <row r="14" spans="1:8" x14ac:dyDescent="0.2">
      <c r="A14" t="s">
        <v>8</v>
      </c>
      <c r="B14" t="s">
        <v>14</v>
      </c>
      <c r="C14" s="20">
        <v>216769</v>
      </c>
      <c r="D14" s="20">
        <v>202377</v>
      </c>
      <c r="E14" s="20">
        <v>14392</v>
      </c>
      <c r="G14" t="b">
        <f t="shared" si="0"/>
        <v>0</v>
      </c>
      <c r="H14" t="b">
        <f t="shared" si="1"/>
        <v>0</v>
      </c>
    </row>
    <row r="15" spans="1:8" x14ac:dyDescent="0.2">
      <c r="A15" t="s">
        <v>5</v>
      </c>
      <c r="B15" t="s">
        <v>25</v>
      </c>
      <c r="C15" s="20">
        <v>201254</v>
      </c>
      <c r="D15" s="20">
        <v>99452</v>
      </c>
      <c r="E15" s="20">
        <v>101802</v>
      </c>
      <c r="G15" t="b">
        <f t="shared" si="0"/>
        <v>1</v>
      </c>
      <c r="H15" t="b">
        <f t="shared" si="1"/>
        <v>0</v>
      </c>
    </row>
    <row r="16" spans="1:8" x14ac:dyDescent="0.2">
      <c r="A16" t="s">
        <v>5</v>
      </c>
      <c r="B16" t="s">
        <v>9</v>
      </c>
      <c r="C16" s="20">
        <v>541254</v>
      </c>
      <c r="D16" s="20">
        <v>320012</v>
      </c>
      <c r="E16" s="20">
        <v>221242</v>
      </c>
      <c r="G16" t="b">
        <f t="shared" si="0"/>
        <v>0</v>
      </c>
      <c r="H16" t="b">
        <f t="shared" si="1"/>
        <v>0</v>
      </c>
    </row>
    <row r="17" spans="1:8" x14ac:dyDescent="0.2">
      <c r="A17" t="s">
        <v>8</v>
      </c>
      <c r="B17" t="s">
        <v>15</v>
      </c>
      <c r="C17" s="20">
        <v>379302</v>
      </c>
      <c r="D17" s="20">
        <v>299032</v>
      </c>
      <c r="E17" s="20">
        <v>80270</v>
      </c>
      <c r="G17" t="b">
        <f t="shared" si="0"/>
        <v>0</v>
      </c>
      <c r="H17" t="b">
        <f t="shared" si="1"/>
        <v>0</v>
      </c>
    </row>
    <row r="18" spans="1:8" x14ac:dyDescent="0.2">
      <c r="A18" t="s">
        <v>6</v>
      </c>
      <c r="B18" t="s">
        <v>12</v>
      </c>
      <c r="C18" s="20">
        <v>700000</v>
      </c>
      <c r="D18" s="20">
        <v>193906</v>
      </c>
      <c r="E18" s="20">
        <v>506094</v>
      </c>
      <c r="G18" t="b">
        <f t="shared" si="0"/>
        <v>0</v>
      </c>
      <c r="H18" t="b">
        <f t="shared" si="1"/>
        <v>0</v>
      </c>
    </row>
    <row r="19" spans="1:8" x14ac:dyDescent="0.2">
      <c r="A19" t="s">
        <v>8</v>
      </c>
      <c r="B19" t="s">
        <v>17</v>
      </c>
      <c r="C19" s="20">
        <v>501226</v>
      </c>
      <c r="D19" s="20">
        <v>425797</v>
      </c>
      <c r="E19" s="20">
        <v>75429</v>
      </c>
      <c r="G19" t="b">
        <f t="shared" si="0"/>
        <v>0</v>
      </c>
      <c r="H19" t="b">
        <f t="shared" si="1"/>
        <v>0</v>
      </c>
    </row>
    <row r="20" spans="1:8" x14ac:dyDescent="0.2">
      <c r="A20" t="s">
        <v>7</v>
      </c>
      <c r="B20" t="s">
        <v>21</v>
      </c>
      <c r="C20" s="20">
        <v>816769</v>
      </c>
      <c r="D20" s="20">
        <v>782577</v>
      </c>
      <c r="E20" s="20">
        <v>34192</v>
      </c>
      <c r="G20" t="b">
        <f t="shared" si="0"/>
        <v>0</v>
      </c>
      <c r="H20" t="b">
        <f t="shared" si="1"/>
        <v>0</v>
      </c>
    </row>
    <row r="21" spans="1:8" x14ac:dyDescent="0.2">
      <c r="A21" t="s">
        <v>7</v>
      </c>
      <c r="B21" t="s">
        <v>22</v>
      </c>
      <c r="C21" s="20">
        <v>779308</v>
      </c>
      <c r="D21" s="20">
        <v>699058</v>
      </c>
      <c r="E21" s="20">
        <v>80250</v>
      </c>
      <c r="G21" t="b">
        <f t="shared" si="0"/>
        <v>0</v>
      </c>
      <c r="H21" t="b">
        <f t="shared" si="1"/>
        <v>0</v>
      </c>
    </row>
    <row r="22" spans="1:8" x14ac:dyDescent="0.2">
      <c r="A22" t="s">
        <v>7</v>
      </c>
      <c r="B22" t="s">
        <v>24</v>
      </c>
      <c r="C22" s="20">
        <v>550647</v>
      </c>
      <c r="D22" s="20">
        <v>739393</v>
      </c>
      <c r="E22" s="20">
        <v>-188746</v>
      </c>
      <c r="G22" t="b">
        <f t="shared" si="0"/>
        <v>0</v>
      </c>
      <c r="H22" t="b">
        <f t="shared" si="1"/>
        <v>1</v>
      </c>
    </row>
    <row r="23" spans="1:8" x14ac:dyDescent="0.2">
      <c r="A23" t="s">
        <v>5</v>
      </c>
      <c r="B23" t="s">
        <v>26</v>
      </c>
      <c r="C23" s="20">
        <v>296975</v>
      </c>
      <c r="D23" s="20">
        <v>270000</v>
      </c>
      <c r="E23" s="20">
        <v>26975</v>
      </c>
      <c r="G23" t="b">
        <f t="shared" si="0"/>
        <v>0</v>
      </c>
      <c r="H23" t="b">
        <f t="shared" si="1"/>
        <v>0</v>
      </c>
    </row>
    <row r="24" spans="1:8" x14ac:dyDescent="0.2">
      <c r="A24" t="s">
        <v>7</v>
      </c>
      <c r="B24" t="s">
        <v>20</v>
      </c>
      <c r="C24" s="20">
        <v>854230</v>
      </c>
      <c r="D24" s="20">
        <v>826096</v>
      </c>
      <c r="E24" s="20">
        <v>28134</v>
      </c>
      <c r="G24" t="b">
        <f t="shared" si="0"/>
        <v>0</v>
      </c>
      <c r="H24" t="b">
        <f t="shared" si="1"/>
        <v>0</v>
      </c>
    </row>
    <row r="25" spans="1:8" x14ac:dyDescent="0.2">
      <c r="A25" t="s">
        <v>5</v>
      </c>
      <c r="B25" t="s">
        <v>28</v>
      </c>
      <c r="C25" s="20">
        <v>400000</v>
      </c>
      <c r="D25" s="20">
        <v>222365</v>
      </c>
      <c r="E25" s="20">
        <v>177635</v>
      </c>
      <c r="G25" t="b">
        <f t="shared" si="0"/>
        <v>0</v>
      </c>
      <c r="H25" t="b">
        <f t="shared" si="1"/>
        <v>0</v>
      </c>
    </row>
    <row r="26" spans="1:8" x14ac:dyDescent="0.2">
      <c r="A26" t="s">
        <v>7</v>
      </c>
      <c r="B26" t="s">
        <v>23</v>
      </c>
      <c r="C26" s="20">
        <v>601556</v>
      </c>
      <c r="D26" s="20">
        <v>393797</v>
      </c>
      <c r="E26" s="20">
        <v>207759</v>
      </c>
      <c r="G26" t="b">
        <f t="shared" si="0"/>
        <v>0</v>
      </c>
      <c r="H26" t="b">
        <f t="shared" si="1"/>
        <v>0</v>
      </c>
    </row>
  </sheetData>
  <conditionalFormatting sqref="A2:E26">
    <cfRule type="expression" dxfId="4" priority="6">
      <formula>"$B2=""Edirne"""</formula>
    </cfRule>
    <cfRule type="expression" dxfId="5" priority="3">
      <formula>"$B2='Edirne'"</formula>
    </cfRule>
    <cfRule type="expression" dxfId="6" priority="2">
      <formula>$B2="Edirne"</formula>
    </cfRule>
    <cfRule type="expression" dxfId="3" priority="1">
      <formula>$E2&lt;0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SORU1 </vt:lpstr>
      <vt:lpstr>Sayfa1</vt:lpstr>
      <vt:lpstr>Sayfa2</vt:lpstr>
    </vt:vector>
  </TitlesOfParts>
  <Company>Bilge Adam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ebrud</dc:creator>
  <cp:lastModifiedBy>Emre</cp:lastModifiedBy>
  <dcterms:created xsi:type="dcterms:W3CDTF">2003-12-17T13:52:36Z</dcterms:created>
  <dcterms:modified xsi:type="dcterms:W3CDTF">2026-02-23T22:41:16Z</dcterms:modified>
</cp:coreProperties>
</file>